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xmlns:r="http://schemas.openxmlformats.org/officeDocument/2006/relationships">
  <workbookPr codeName="ThisWorkbook"/>
  <workbookProtection lockStructure="1"/>
  <bookViews>
    <workbookView visibility="visible" minimized="0" showHorizontalScroll="1" showVerticalScroll="1" showSheetTabs="1" xWindow="-120" yWindow="-120" windowWidth="29040" windowHeight="15720" tabRatio="955" firstSheet="0" activeTab="8" autoFilterDateGrouping="1"/>
  </bookViews>
  <sheets>
    <sheet name="ANA SAYFA" sheetId="1" state="visible" r:id="rId1"/>
    <sheet name="GELİR TABLOSU" sheetId="2" state="visible" r:id="rId2"/>
    <sheet name="VERGİ HESABI" sheetId="3" state="visible" r:id="rId3"/>
    <sheet name="BİLANÇO" sheetId="4" state="visible" r:id="rId4"/>
    <sheet name="BİLANÇO ANALİZİ" sheetId="5" state="visible" r:id="rId5"/>
    <sheet name="ORAN ANALİZİ" sheetId="6" state="visible" r:id="rId6"/>
    <sheet name="KKEG FİN. KISITLAMA HESAPL" sheetId="7" state="visible" r:id="rId7"/>
    <sheet name="EBİTDA" sheetId="8" state="visible" r:id="rId8"/>
    <sheet name="BORCA BATIKLIK" sheetId="9" state="visible" r:id="rId9"/>
    <sheet name="KİK ORANLARI" sheetId="10" state="visible" r:id="rId10"/>
    <sheet name="ÖNCEKİ DÖNEM DETAY MİZAN" sheetId="11" state="visible" r:id="rId11"/>
    <sheet name="CARİ DÖNEM DETAY MİZAN" sheetId="12" state="visible" r:id="rId12"/>
  </sheets>
  <definedNames>
    <definedName name="_xlnm.Print_Area" localSheetId="0">'ANA SAYFA'!$A$1:$G$43</definedName>
    <definedName name="_xlnm.Print_Area" localSheetId="1">'GELİR TABLOSU'!$A$2:$G$85</definedName>
    <definedName name="_xlnm.Print_Area" localSheetId="2">'VERGİ HESABI'!$A$1:$D$62</definedName>
    <definedName name="_xlnm.Print_Area" localSheetId="3">'BİLANÇO'!$A$1:$I$141</definedName>
    <definedName name="_xlnm.Print_Area" localSheetId="5">'ORAN ANALİZİ'!$A$1:$H$36</definedName>
    <definedName name="_xlnm.Print_Area" localSheetId="9">'KİK ORANLARI'!$A$1:$G$28</definedName>
  </definedNames>
  <calcPr calcId="191029" fullCalcOnLoad="1"/>
</workbook>
</file>

<file path=xl/styles.xml><?xml version="1.0" encoding="utf-8"?>
<styleSheet xmlns="http://schemas.openxmlformats.org/spreadsheetml/2006/main">
  <numFmts count="4">
    <numFmt numFmtId="164" formatCode="_-* #,##0.00_-;\-* #,##0.00_-;_-* &quot;-&quot;??_-;_-@_-"/>
    <numFmt numFmtId="165" formatCode="[$-41F]mmmm\ yy;@"/>
    <numFmt numFmtId="166" formatCode="_-* #,##0.00\ _₺_-;\-* #,##0.00\ _₺_-;_-* &quot;-&quot;??\ _₺_-;_-@_-"/>
    <numFmt numFmtId="167" formatCode="_-* #,##0.00\ _Y_T_L_-;\-* #,##0.00\ _Y_T_L_-;_-* &quot;-&quot;??\ _Y_T_L_-;_-@_-"/>
  </numFmts>
  <fonts count="67">
    <font>
      <name val="Arial"/>
      <charset val="162"/>
      <sz val="10"/>
    </font>
    <font>
      <name val="Calibri"/>
      <charset val="162"/>
      <family val="2"/>
      <color theme="1"/>
      <sz val="11"/>
      <scheme val="minor"/>
    </font>
    <font>
      <name val="Calibri"/>
      <charset val="162"/>
      <family val="2"/>
      <color theme="1"/>
      <sz val="11"/>
      <scheme val="minor"/>
    </font>
    <font>
      <name val="Arial"/>
      <charset val="162"/>
      <family val="2"/>
      <sz val="10"/>
    </font>
    <font>
      <name val="Arial"/>
      <charset val="162"/>
      <family val="2"/>
      <color indexed="12"/>
      <sz val="10"/>
      <u val="single"/>
    </font>
    <font>
      <name val="Arial"/>
      <charset val="162"/>
      <family val="2"/>
      <sz val="8"/>
    </font>
    <font>
      <name val="Arial Tur"/>
      <charset val="162"/>
      <sz val="10"/>
    </font>
    <font>
      <name val="Arial"/>
      <charset val="162"/>
      <family val="2"/>
      <color theme="1"/>
      <sz val="10"/>
    </font>
    <font>
      <name val="Tahoma"/>
      <charset val="162"/>
      <family val="2"/>
      <sz val="10"/>
    </font>
    <font>
      <name val="Tahoma"/>
      <charset val="162"/>
      <family val="2"/>
      <b val="1"/>
      <sz val="10"/>
    </font>
    <font>
      <name val="Tahoma"/>
      <charset val="162"/>
      <family val="2"/>
      <color indexed="54"/>
      <sz val="10"/>
    </font>
    <font>
      <name val="Tahoma"/>
      <charset val="162"/>
      <family val="2"/>
      <b val="1"/>
      <color indexed="54"/>
      <sz val="16"/>
    </font>
    <font>
      <name val="Tahoma"/>
      <charset val="162"/>
      <family val="2"/>
      <b val="1"/>
      <color indexed="54"/>
      <sz val="10"/>
      <u val="single"/>
    </font>
    <font>
      <name val="Tahoma"/>
      <charset val="162"/>
      <family val="2"/>
      <b val="1"/>
      <color indexed="54"/>
      <sz val="11"/>
      <u val="single"/>
    </font>
    <font>
      <name val="Tahoma"/>
      <charset val="162"/>
      <family val="2"/>
      <b val="1"/>
      <sz val="11"/>
    </font>
    <font>
      <name val="Tahoma"/>
      <charset val="162"/>
      <family val="2"/>
      <b val="1"/>
      <color indexed="54"/>
      <sz val="10"/>
    </font>
    <font>
      <name val="Tahoma"/>
      <charset val="162"/>
      <family val="2"/>
      <b val="1"/>
      <color indexed="53"/>
      <sz val="8"/>
      <u val="single"/>
    </font>
    <font>
      <name val="Tahoma"/>
      <charset val="162"/>
      <family val="2"/>
      <b val="1"/>
      <color indexed="53"/>
      <sz val="8"/>
    </font>
    <font>
      <name val="Tahoma"/>
      <charset val="162"/>
      <family val="2"/>
      <b val="1"/>
      <color indexed="10"/>
      <sz val="8"/>
    </font>
    <font>
      <name val="Tahoma"/>
      <charset val="162"/>
      <family val="2"/>
      <b val="1"/>
      <color theme="9" tint="-0.249977111117893"/>
      <sz val="8"/>
    </font>
    <font>
      <name val="Tahoma"/>
      <charset val="162"/>
      <family val="2"/>
      <b val="1"/>
      <color indexed="9"/>
      <sz val="10"/>
    </font>
    <font>
      <name val="Tahoma"/>
      <charset val="162"/>
      <family val="2"/>
      <b val="1"/>
      <color indexed="10"/>
      <sz val="10"/>
    </font>
    <font>
      <name val="Tahoma"/>
      <charset val="162"/>
      <family val="2"/>
      <color indexed="10"/>
      <sz val="10"/>
    </font>
    <font>
      <name val="Tahoma"/>
      <charset val="162"/>
      <family val="2"/>
      <sz val="8"/>
    </font>
    <font>
      <name val="Tahoma"/>
      <charset val="162"/>
      <family val="2"/>
      <color indexed="10"/>
      <sz val="8"/>
    </font>
    <font>
      <name val="Tahoma"/>
      <charset val="162"/>
      <family val="2"/>
      <color theme="1"/>
      <sz val="10"/>
    </font>
    <font>
      <name val="Tahoma"/>
      <charset val="162"/>
      <family val="2"/>
      <b val="1"/>
      <color rgb="FFFF0000"/>
      <sz val="10"/>
    </font>
    <font>
      <name val="Tahoma"/>
      <charset val="162"/>
      <family val="2"/>
      <b val="1"/>
      <sz val="8"/>
    </font>
    <font>
      <name val="Tahoma"/>
      <charset val="162"/>
      <family val="2"/>
      <sz val="7"/>
    </font>
    <font>
      <name val="Tahoma"/>
      <charset val="162"/>
      <family val="2"/>
      <b val="1"/>
      <color indexed="9"/>
      <sz val="8"/>
    </font>
    <font>
      <name val="Tahoma"/>
      <charset val="162"/>
      <family val="2"/>
      <color indexed="9"/>
      <sz val="8"/>
    </font>
    <font>
      <name val="Tahoma"/>
      <charset val="162"/>
      <family val="2"/>
      <b val="1"/>
      <sz val="9"/>
    </font>
    <font>
      <name val="Tahoma"/>
      <charset val="162"/>
      <family val="2"/>
      <b val="1"/>
      <color indexed="53"/>
      <sz val="10"/>
      <u val="single"/>
    </font>
    <font>
      <name val="Tahoma"/>
      <charset val="162"/>
      <family val="2"/>
      <b val="1"/>
      <color indexed="10"/>
      <sz val="7"/>
    </font>
    <font>
      <name val="Tahoma"/>
      <charset val="162"/>
      <family val="2"/>
      <b val="1"/>
      <color indexed="9"/>
      <sz val="12"/>
    </font>
    <font>
      <name val="Tahoma"/>
      <charset val="162"/>
      <family val="2"/>
      <b val="1"/>
      <color indexed="9"/>
      <sz val="11"/>
    </font>
    <font>
      <name val="Tahoma"/>
      <charset val="162"/>
      <family val="2"/>
      <b val="1"/>
      <sz val="11"/>
      <u val="single"/>
    </font>
    <font>
      <name val="Tahoma"/>
      <charset val="162"/>
      <family val="2"/>
      <sz val="10"/>
      <u val="single"/>
    </font>
    <font>
      <name val="Tahoma"/>
      <charset val="162"/>
      <family val="2"/>
      <b val="1"/>
      <sz val="12"/>
    </font>
    <font>
      <name val="Tahoma"/>
      <charset val="162"/>
      <family val="2"/>
      <sz val="12"/>
    </font>
    <font>
      <name val="Tahoma"/>
      <charset val="162"/>
      <family val="2"/>
      <color indexed="81"/>
      <sz val="9"/>
    </font>
    <font>
      <name val="Tahoma"/>
      <charset val="162"/>
      <family val="2"/>
      <b val="1"/>
      <color indexed="81"/>
      <sz val="9"/>
    </font>
    <font>
      <name val="Tahoma"/>
      <charset val="162"/>
      <family val="2"/>
      <color rgb="FFFF0000"/>
      <sz val="12"/>
    </font>
    <font>
      <name val="Tahoma"/>
      <charset val="162"/>
      <family val="2"/>
      <sz val="11"/>
    </font>
    <font>
      <name val="Tahoma"/>
      <charset val="162"/>
      <family val="2"/>
      <b val="1"/>
      <color theme="1"/>
      <sz val="10"/>
    </font>
    <font>
      <name val="Calibri"/>
      <family val="2"/>
      <color theme="1"/>
      <sz val="11"/>
    </font>
    <font>
      <name val="Calibri"/>
      <charset val="162"/>
      <family val="2"/>
      <b val="1"/>
      <sz val="11"/>
    </font>
    <font>
      <name val="Calibri"/>
      <charset val="162"/>
      <family val="2"/>
      <sz val="11"/>
    </font>
    <font>
      <name val="Calibri"/>
      <charset val="162"/>
      <family val="2"/>
      <color theme="1"/>
      <sz val="11"/>
    </font>
    <font>
      <name val="Arial"/>
      <charset val="162"/>
      <family val="2"/>
      <color rgb="FFFF0000"/>
      <sz val="10"/>
    </font>
    <font>
      <name val="Tahoma"/>
      <charset val="162"/>
      <family val="2"/>
      <b val="1"/>
      <color indexed="53"/>
      <sz val="9"/>
      <u val="single"/>
    </font>
    <font>
      <name val="Tahoma"/>
      <charset val="162"/>
      <family val="2"/>
      <b val="1"/>
      <color indexed="53"/>
      <sz val="9"/>
    </font>
    <font>
      <name val="Helvetica"/>
      <family val="2"/>
      <sz val="8"/>
    </font>
    <font>
      <name val="Times"/>
      <charset val="162"/>
      <sz val="8"/>
    </font>
    <font>
      <name val="ARIAL"/>
      <charset val="162"/>
      <b val="1"/>
      <color indexed="10"/>
      <sz val="10"/>
    </font>
    <font>
      <name val="Arial"/>
      <charset val="162"/>
      <family val="2"/>
      <b val="1"/>
      <color indexed="16"/>
      <sz val="10"/>
    </font>
    <font>
      <name val="Arial"/>
      <charset val="162"/>
      <family val="2"/>
      <b val="1"/>
      <sz val="10"/>
    </font>
    <font>
      <name val="Arial"/>
      <charset val="162"/>
      <family val="2"/>
      <b val="1"/>
      <color rgb="FFFF0000"/>
      <sz val="10"/>
    </font>
    <font>
      <name val="Arial"/>
      <charset val="162"/>
      <family val="2"/>
      <b val="1"/>
      <sz val="8"/>
    </font>
    <font>
      <name val="Arial"/>
      <charset val="162"/>
      <family val="2"/>
      <color theme="9" tint="-0.249977111117893"/>
      <sz val="10"/>
    </font>
    <font>
      <name val="Arial"/>
      <charset val="162"/>
      <family val="2"/>
      <b val="1"/>
      <color theme="9" tint="-0.249977111117893"/>
      <sz val="12"/>
    </font>
    <font>
      <name val="Arial"/>
      <charset val="162"/>
      <family val="2"/>
      <b val="1"/>
      <color theme="1"/>
      <sz val="10"/>
    </font>
    <font>
      <name val="Tahoma"/>
      <charset val="162"/>
      <family val="2"/>
      <color theme="6" tint="-0.249977111117893"/>
      <sz val="8"/>
    </font>
    <font>
      <name val="Times New Roman"/>
      <charset val="162"/>
      <family val="1"/>
      <sz val="10"/>
    </font>
    <font>
      <name val="Tahoma"/>
      <family val="2"/>
      <color rgb="FF000000"/>
      <sz val="11"/>
    </font>
    <font>
      <name val="ArialMT"/>
      <color rgb="FF333333"/>
      <sz val="9"/>
    </font>
    <font>
      <name val="Helvetica"/>
      <charset val="162"/>
      <sz val="8"/>
    </font>
  </fonts>
  <fills count="8">
    <fill>
      <patternFill/>
    </fill>
    <fill>
      <patternFill patternType="gray125"/>
    </fill>
    <fill>
      <patternFill patternType="solid">
        <fgColor indexed="54"/>
        <bgColor indexed="64"/>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rgb="FFFF0000"/>
        <bgColor indexed="64"/>
      </patternFill>
    </fill>
    <fill>
      <patternFill patternType="solid">
        <fgColor rgb="FFFFFFFF"/>
        <bgColor rgb="FFFFFFFF"/>
      </patternFill>
    </fill>
  </fills>
  <borders count="70">
    <border>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top/>
      <bottom/>
      <diagonal/>
    </border>
    <border>
      <left/>
      <right/>
      <top/>
      <bottom style="double">
        <color indexed="64"/>
      </bottom>
      <diagonal/>
    </border>
    <border>
      <left style="double">
        <color indexed="64"/>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diagonal/>
    </border>
    <border>
      <left style="thin">
        <color indexed="64"/>
      </left>
      <right/>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double">
        <color indexed="64"/>
      </right>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2">
    <xf numFmtId="0" fontId="0" fillId="0" borderId="0"/>
    <xf numFmtId="43" fontId="3" fillId="0" borderId="0"/>
    <xf numFmtId="0" fontId="4" fillId="0" borderId="0" applyAlignment="1" applyProtection="1">
      <alignment vertical="top"/>
      <protection locked="0" hidden="0"/>
    </xf>
    <xf numFmtId="0" fontId="6" fillId="0" borderId="0"/>
    <xf numFmtId="0" fontId="2" fillId="0" borderId="0"/>
    <xf numFmtId="0" fontId="2" fillId="0" borderId="0"/>
    <xf numFmtId="0" fontId="2" fillId="0" borderId="0"/>
    <xf numFmtId="0" fontId="3" fillId="0" borderId="0"/>
    <xf numFmtId="0" fontId="3" fillId="0" borderId="0"/>
    <xf numFmtId="167" fontId="3" fillId="0" borderId="0"/>
    <xf numFmtId="0" fontId="2" fillId="0" borderId="0"/>
    <xf numFmtId="167" fontId="43" fillId="0" borderId="0"/>
  </cellStyleXfs>
  <cellXfs count="507">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1" fillId="0" borderId="15" pivotButton="0" quotePrefix="0" xfId="0"/>
    <xf numFmtId="0" fontId="11" fillId="0" borderId="16" pivotButton="0" quotePrefix="0" xfId="0"/>
    <xf numFmtId="0" fontId="11" fillId="0" borderId="17" pivotButton="0" quotePrefix="0" xfId="0"/>
    <xf numFmtId="0" fontId="12" fillId="0" borderId="0" pivotButton="0" quotePrefix="0" xfId="2"/>
    <xf numFmtId="0" fontId="13" fillId="0" borderId="0" pivotButton="0" quotePrefix="0" xfId="2"/>
    <xf numFmtId="0" fontId="14" fillId="0" borderId="0" pivotButton="0" quotePrefix="0" xfId="0"/>
    <xf numFmtId="0" fontId="15" fillId="0" borderId="0" pivotButton="0" quotePrefix="0" xfId="0"/>
    <xf numFmtId="0" fontId="16" fillId="0" borderId="0" pivotButton="0" quotePrefix="0" xfId="2"/>
    <xf numFmtId="0" fontId="17" fillId="0" borderId="0" pivotButton="0" quotePrefix="0" xfId="0"/>
    <xf numFmtId="0" fontId="18" fillId="0" borderId="0" pivotButton="0" quotePrefix="0" xfId="0"/>
    <xf numFmtId="0" fontId="19" fillId="0" borderId="0" applyAlignment="1" pivotButton="0" quotePrefix="0" xfId="0">
      <alignment horizontal="right"/>
    </xf>
    <xf numFmtId="0" fontId="21" fillId="2" borderId="0" applyAlignment="1" pivotButton="0" quotePrefix="0" xfId="0">
      <alignment horizontal="center"/>
    </xf>
    <xf numFmtId="3" fontId="20" fillId="2" borderId="0" applyAlignment="1" pivotButton="0" quotePrefix="0" xfId="0">
      <alignment horizontal="right"/>
    </xf>
    <xf numFmtId="0" fontId="21" fillId="2" borderId="6" applyAlignment="1" pivotButton="0" quotePrefix="0" xfId="0">
      <alignment horizontal="center"/>
    </xf>
    <xf numFmtId="1" fontId="20" fillId="2" borderId="37" applyAlignment="1" pivotButton="0" quotePrefix="0" xfId="0">
      <alignment horizontal="center" vertical="center"/>
    </xf>
    <xf numFmtId="0" fontId="20" fillId="2" borderId="22" applyAlignment="1" pivotButton="0" quotePrefix="0" xfId="0">
      <alignment horizontal="center" vertical="center"/>
    </xf>
    <xf numFmtId="17" fontId="20" fillId="2" borderId="21" applyAlignment="1" pivotButton="0" quotePrefix="0" xfId="0">
      <alignment horizontal="center" vertical="center"/>
    </xf>
    <xf numFmtId="0" fontId="21" fillId="4" borderId="22" applyAlignment="1" pivotButton="0" quotePrefix="0" xfId="0">
      <alignment horizontal="center" vertical="center" wrapText="1"/>
    </xf>
    <xf numFmtId="0" fontId="8" fillId="0" borderId="0" applyAlignment="1" pivotButton="0" quotePrefix="0" xfId="0">
      <alignment horizontal="center" vertical="center"/>
    </xf>
    <xf numFmtId="1" fontId="9" fillId="0" borderId="29" applyAlignment="1" pivotButton="0" quotePrefix="0" xfId="0">
      <alignment horizontal="center"/>
    </xf>
    <xf numFmtId="0" fontId="9" fillId="0" borderId="18" pivotButton="0" quotePrefix="0" xfId="0"/>
    <xf numFmtId="164" fontId="9" fillId="0" borderId="18" pivotButton="0" quotePrefix="0" xfId="1"/>
    <xf numFmtId="2" fontId="21" fillId="4" borderId="18" pivotButton="0" quotePrefix="0" xfId="0"/>
    <xf numFmtId="2" fontId="21" fillId="4" borderId="14" pivotButton="0" quotePrefix="0" xfId="0"/>
    <xf numFmtId="1" fontId="8" fillId="0" borderId="5" applyAlignment="1" pivotButton="0" quotePrefix="0" xfId="0">
      <alignment horizontal="center"/>
    </xf>
    <xf numFmtId="0" fontId="8" fillId="0" borderId="2" pivotButton="0" quotePrefix="0" xfId="0"/>
    <xf numFmtId="164" fontId="8" fillId="0" borderId="2" pivotButton="0" quotePrefix="0" xfId="1"/>
    <xf numFmtId="2" fontId="22" fillId="4" borderId="2" pivotButton="0" quotePrefix="0" xfId="0"/>
    <xf numFmtId="164" fontId="8" fillId="0" borderId="0" pivotButton="0" quotePrefix="0" xfId="1"/>
    <xf numFmtId="1" fontId="9" fillId="0" borderId="30" applyAlignment="1" pivotButton="0" quotePrefix="0" xfId="0">
      <alignment horizontal="center"/>
    </xf>
    <xf numFmtId="0" fontId="9" fillId="0" borderId="4" pivotButton="0" quotePrefix="0" xfId="0"/>
    <xf numFmtId="164" fontId="9" fillId="0" borderId="4" pivotButton="0" quotePrefix="0" xfId="1"/>
    <xf numFmtId="2" fontId="21" fillId="4" borderId="4" pivotButton="0" quotePrefix="0" xfId="0"/>
    <xf numFmtId="1" fontId="20" fillId="2" borderId="29" applyAlignment="1" pivotButton="0" quotePrefix="0" xfId="0">
      <alignment horizontal="center"/>
    </xf>
    <xf numFmtId="0" fontId="20" fillId="2" borderId="18" pivotButton="0" quotePrefix="0" xfId="0"/>
    <xf numFmtId="164" fontId="20" fillId="2" borderId="18" pivotButton="0" quotePrefix="0" xfId="1"/>
    <xf numFmtId="1" fontId="8" fillId="0" borderId="29" applyAlignment="1" pivotButton="0" quotePrefix="0" xfId="0">
      <alignment horizontal="center"/>
    </xf>
    <xf numFmtId="0" fontId="8" fillId="0" borderId="18" pivotButton="0" quotePrefix="0" xfId="0"/>
    <xf numFmtId="164" fontId="8" fillId="0" borderId="18" pivotButton="0" quotePrefix="0" xfId="1"/>
    <xf numFmtId="2" fontId="22" fillId="4" borderId="18" pivotButton="0" quotePrefix="0" xfId="0"/>
    <xf numFmtId="2" fontId="24" fillId="4" borderId="2" pivotButton="0" quotePrefix="0" xfId="0"/>
    <xf numFmtId="1" fontId="9" fillId="0" borderId="31" applyAlignment="1" pivotButton="0" quotePrefix="0" xfId="0">
      <alignment horizontal="center"/>
    </xf>
    <xf numFmtId="0" fontId="9" fillId="0" borderId="28" pivotButton="0" quotePrefix="0" xfId="0"/>
    <xf numFmtId="164" fontId="9" fillId="0" borderId="28" pivotButton="0" quotePrefix="0" xfId="1"/>
    <xf numFmtId="2" fontId="21" fillId="4" borderId="28" pivotButton="0" quotePrefix="0" xfId="0"/>
    <xf numFmtId="1" fontId="20" fillId="2" borderId="32" applyAlignment="1" pivotButton="0" quotePrefix="0" xfId="0">
      <alignment horizontal="center"/>
    </xf>
    <xf numFmtId="0" fontId="20" fillId="2" borderId="33" pivotButton="0" quotePrefix="0" xfId="0"/>
    <xf numFmtId="164" fontId="20" fillId="2" borderId="33" pivotButton="0" quotePrefix="0" xfId="1"/>
    <xf numFmtId="2" fontId="21" fillId="4" borderId="33" pivotButton="0" quotePrefix="0" xfId="0"/>
    <xf numFmtId="1" fontId="8" fillId="0" borderId="0" applyAlignment="1" pivotButton="0" quotePrefix="0" xfId="0">
      <alignment horizontal="center"/>
    </xf>
    <xf numFmtId="0" fontId="22" fillId="0" borderId="0" pivotButton="0" quotePrefix="0" xfId="0"/>
    <xf numFmtId="0" fontId="20" fillId="2" borderId="22" applyAlignment="1" pivotButton="0" quotePrefix="0" xfId="0">
      <alignment horizontal="left"/>
    </xf>
    <xf numFmtId="0" fontId="8" fillId="4" borderId="0" pivotButton="0" quotePrefix="0" xfId="7"/>
    <xf numFmtId="4" fontId="8" fillId="4" borderId="0" pivotButton="0" quotePrefix="0" xfId="8"/>
    <xf numFmtId="4" fontId="9" fillId="4" borderId="46" pivotButton="0" quotePrefix="0" xfId="9"/>
    <xf numFmtId="0" fontId="8" fillId="0" borderId="0" pivotButton="0" quotePrefix="0" xfId="7"/>
    <xf numFmtId="4" fontId="8" fillId="4" borderId="0" pivotButton="0" quotePrefix="0" xfId="9"/>
    <xf numFmtId="4" fontId="8" fillId="0" borderId="0" pivotButton="0" quotePrefix="0" xfId="9"/>
    <xf numFmtId="4" fontId="9" fillId="0" borderId="35" pivotButton="0" quotePrefix="0" xfId="9"/>
    <xf numFmtId="3" fontId="8" fillId="0" borderId="59" pivotButton="0" quotePrefix="0" xfId="7"/>
    <xf numFmtId="0" fontId="25" fillId="0" borderId="48" pivotButton="0" quotePrefix="0" xfId="10"/>
    <xf numFmtId="4" fontId="8" fillId="4" borderId="14" pivotButton="0" quotePrefix="0" xfId="9"/>
    <xf numFmtId="0" fontId="25" fillId="0" borderId="54" pivotButton="0" quotePrefix="0" xfId="10"/>
    <xf numFmtId="4" fontId="8" fillId="4" borderId="55" pivotButton="0" quotePrefix="0" xfId="9"/>
    <xf numFmtId="3" fontId="8" fillId="0" borderId="0" pivotButton="0" quotePrefix="0" xfId="7"/>
    <xf numFmtId="4" fontId="9" fillId="4" borderId="0" pivotButton="0" quotePrefix="0" xfId="9"/>
    <xf numFmtId="3" fontId="8" fillId="0" borderId="48" pivotButton="0" quotePrefix="0" xfId="7"/>
    <xf numFmtId="3" fontId="8" fillId="0" borderId="54" pivotButton="0" quotePrefix="0" xfId="7"/>
    <xf numFmtId="3" fontId="9" fillId="0" borderId="0" pivotButton="0" quotePrefix="0" xfId="7"/>
    <xf numFmtId="0" fontId="9" fillId="0" borderId="0" pivotButton="0" quotePrefix="0" xfId="7"/>
    <xf numFmtId="4" fontId="9" fillId="0" borderId="46" pivotButton="0" quotePrefix="0" xfId="9"/>
    <xf numFmtId="0" fontId="25" fillId="0" borderId="0" pivotButton="0" quotePrefix="0" xfId="10"/>
    <xf numFmtId="4" fontId="26" fillId="4" borderId="46" pivotButton="0" quotePrefix="0" xfId="9"/>
    <xf numFmtId="0" fontId="16" fillId="0" borderId="0" applyAlignment="1" pivotButton="0" quotePrefix="0" xfId="2">
      <alignment horizontal="left"/>
    </xf>
    <xf numFmtId="0" fontId="23" fillId="0" borderId="0" pivotButton="0" quotePrefix="0" xfId="0"/>
    <xf numFmtId="0" fontId="23" fillId="0" borderId="0" applyAlignment="1" pivotButton="0" quotePrefix="0" xfId="0">
      <alignment horizontal="left"/>
    </xf>
    <xf numFmtId="0" fontId="17" fillId="0" borderId="0" applyAlignment="1" pivotButton="0" quotePrefix="0" xfId="0">
      <alignment horizontal="right"/>
    </xf>
    <xf numFmtId="0" fontId="8" fillId="0" borderId="0" applyAlignment="1" pivotButton="0" quotePrefix="0" xfId="0">
      <alignment horizontal="left"/>
    </xf>
    <xf numFmtId="0" fontId="8" fillId="0" borderId="5" applyAlignment="1" pivotButton="0" quotePrefix="0" xfId="0">
      <alignment horizontal="left"/>
    </xf>
    <xf numFmtId="0" fontId="8" fillId="0" borderId="6" pivotButton="0" quotePrefix="0" xfId="0"/>
    <xf numFmtId="0" fontId="23" fillId="0" borderId="7" applyAlignment="1" pivotButton="0" quotePrefix="0" xfId="0">
      <alignment horizontal="left"/>
    </xf>
    <xf numFmtId="0" fontId="23" fillId="0" borderId="24" pivotButton="0" quotePrefix="0" xfId="0"/>
    <xf numFmtId="17" fontId="27" fillId="0" borderId="18" applyAlignment="1" pivotButton="0" quotePrefix="0" xfId="0">
      <alignment horizontal="center" vertical="center"/>
    </xf>
    <xf numFmtId="4" fontId="28" fillId="0" borderId="24" applyAlignment="1" pivotButton="0" quotePrefix="0" xfId="0">
      <alignment horizontal="center" vertical="center"/>
    </xf>
    <xf numFmtId="0" fontId="23" fillId="0" borderId="24" applyAlignment="1" pivotButton="0" quotePrefix="0" xfId="0">
      <alignment vertical="center"/>
    </xf>
    <xf numFmtId="17" fontId="27" fillId="0" borderId="51" applyAlignment="1" pivotButton="0" quotePrefix="0" xfId="0">
      <alignment horizontal="center" vertical="center"/>
    </xf>
    <xf numFmtId="0" fontId="29" fillId="2" borderId="8" applyAlignment="1" pivotButton="0" quotePrefix="0" xfId="0">
      <alignment horizontal="left" vertical="center"/>
    </xf>
    <xf numFmtId="0" fontId="29" fillId="2" borderId="0" applyAlignment="1" pivotButton="0" quotePrefix="0" xfId="0">
      <alignment horizontal="left" vertical="center"/>
    </xf>
    <xf numFmtId="4" fontId="29" fillId="2" borderId="4" applyAlignment="1" pivotButton="0" quotePrefix="0" xfId="0">
      <alignment horizontal="right"/>
    </xf>
    <xf numFmtId="0" fontId="29" fillId="2" borderId="2" applyAlignment="1" pivotButton="0" quotePrefix="0" xfId="0">
      <alignment horizontal="left"/>
    </xf>
    <xf numFmtId="0" fontId="29" fillId="2" borderId="0" applyAlignment="1" pivotButton="0" quotePrefix="0" xfId="0">
      <alignment horizontal="left"/>
    </xf>
    <xf numFmtId="4" fontId="29" fillId="2" borderId="18" applyAlignment="1" pivotButton="0" quotePrefix="0" xfId="0">
      <alignment horizontal="right"/>
    </xf>
    <xf numFmtId="4" fontId="29" fillId="2" borderId="51" applyAlignment="1" pivotButton="0" quotePrefix="0" xfId="0">
      <alignment horizontal="right"/>
    </xf>
    <xf numFmtId="0" fontId="27" fillId="0" borderId="23" applyAlignment="1" pivotButton="0" quotePrefix="0" xfId="0">
      <alignment horizontal="left" vertical="center"/>
    </xf>
    <xf numFmtId="0" fontId="27" fillId="0" borderId="21" applyAlignment="1" pivotButton="0" quotePrefix="0" xfId="0">
      <alignment horizontal="left" vertical="center"/>
    </xf>
    <xf numFmtId="4" fontId="27" fillId="0" borderId="22" applyAlignment="1" pivotButton="0" quotePrefix="0" xfId="0">
      <alignment horizontal="right"/>
    </xf>
    <xf numFmtId="0" fontId="23" fillId="0" borderId="2" applyAlignment="1" pivotButton="0" quotePrefix="0" xfId="0">
      <alignment horizontal="left"/>
    </xf>
    <xf numFmtId="0" fontId="27" fillId="0" borderId="0" applyAlignment="1" pivotButton="0" quotePrefix="0" xfId="0">
      <alignment horizontal="left"/>
    </xf>
    <xf numFmtId="4" fontId="23" fillId="0" borderId="4" applyAlignment="1" pivotButton="0" quotePrefix="0" xfId="0">
      <alignment horizontal="right"/>
    </xf>
    <xf numFmtId="4" fontId="23" fillId="0" borderId="58" applyAlignment="1" pivotButton="0" quotePrefix="0" xfId="0">
      <alignment horizontal="right"/>
    </xf>
    <xf numFmtId="4" fontId="8" fillId="0" borderId="0" pivotButton="0" quotePrefix="0" xfId="0"/>
    <xf numFmtId="0" fontId="23" fillId="0" borderId="8" applyAlignment="1" pivotButton="0" quotePrefix="0" xfId="0">
      <alignment horizontal="left"/>
    </xf>
    <xf numFmtId="4" fontId="23" fillId="0" borderId="2" pivotButton="0" quotePrefix="0" xfId="0"/>
    <xf numFmtId="4" fontId="23" fillId="0" borderId="0" applyAlignment="1" pivotButton="0" quotePrefix="0" xfId="0">
      <alignment horizontal="right"/>
    </xf>
    <xf numFmtId="0" fontId="27" fillId="0" borderId="2" applyAlignment="1" pivotButton="0" quotePrefix="0" xfId="0">
      <alignment horizontal="left"/>
    </xf>
    <xf numFmtId="4" fontId="27" fillId="0" borderId="2" applyAlignment="1" pivotButton="0" quotePrefix="0" xfId="0">
      <alignment horizontal="right"/>
    </xf>
    <xf numFmtId="4" fontId="27" fillId="0" borderId="6" applyAlignment="1" pivotButton="0" quotePrefix="0" xfId="0">
      <alignment horizontal="right"/>
    </xf>
    <xf numFmtId="4" fontId="23" fillId="0" borderId="2" applyAlignment="1" pivotButton="0" quotePrefix="0" xfId="0">
      <alignment horizontal="right"/>
    </xf>
    <xf numFmtId="4" fontId="23" fillId="0" borderId="6" applyAlignment="1" pivotButton="0" quotePrefix="0" xfId="0">
      <alignment horizontal="right"/>
    </xf>
    <xf numFmtId="0" fontId="27" fillId="0" borderId="8" applyAlignment="1" pivotButton="0" quotePrefix="0" xfId="0">
      <alignment horizontal="left" vertical="center"/>
    </xf>
    <xf numFmtId="0" fontId="27" fillId="0" borderId="0" applyAlignment="1" pivotButton="0" quotePrefix="0" xfId="0">
      <alignment horizontal="left" vertical="center"/>
    </xf>
    <xf numFmtId="0" fontId="27" fillId="0" borderId="8" applyAlignment="1" pivotButton="0" quotePrefix="0" xfId="0">
      <alignment horizontal="left"/>
    </xf>
    <xf numFmtId="4" fontId="23" fillId="0" borderId="6" pivotButton="0" quotePrefix="0" xfId="0"/>
    <xf numFmtId="0" fontId="27" fillId="0" borderId="0" pivotButton="0" quotePrefix="0" xfId="0"/>
    <xf numFmtId="0" fontId="27" fillId="0" borderId="25" applyAlignment="1" pivotButton="0" quotePrefix="0" xfId="0">
      <alignment horizontal="left"/>
    </xf>
    <xf numFmtId="0" fontId="23" fillId="0" borderId="8" applyAlignment="1" pivotButton="0" quotePrefix="0" xfId="0">
      <alignment horizontal="left" vertical="top"/>
    </xf>
    <xf numFmtId="0" fontId="23" fillId="0" borderId="0" applyAlignment="1" pivotButton="0" quotePrefix="0" xfId="0">
      <alignment vertical="top"/>
    </xf>
    <xf numFmtId="0" fontId="23" fillId="0" borderId="3" applyAlignment="1" pivotButton="0" quotePrefix="0" xfId="0">
      <alignment horizontal="left"/>
    </xf>
    <xf numFmtId="0" fontId="23" fillId="0" borderId="2" applyAlignment="1" pivotButton="0" quotePrefix="0" xfId="0">
      <alignment horizontal="left" vertical="center"/>
    </xf>
    <xf numFmtId="0" fontId="23" fillId="0" borderId="0" applyAlignment="1" pivotButton="0" quotePrefix="0" xfId="0">
      <alignment horizontal="left" vertical="center"/>
    </xf>
    <xf numFmtId="0" fontId="23" fillId="0" borderId="3" pivotButton="0" quotePrefix="0" xfId="0"/>
    <xf numFmtId="0" fontId="27" fillId="0" borderId="2" applyAlignment="1" pivotButton="0" quotePrefix="0" xfId="0">
      <alignment horizontal="left" vertical="center"/>
    </xf>
    <xf numFmtId="0" fontId="29" fillId="2" borderId="2" applyAlignment="1" pivotButton="0" quotePrefix="0" xfId="0">
      <alignment horizontal="left" vertical="center"/>
    </xf>
    <xf numFmtId="4" fontId="29" fillId="2" borderId="58" applyAlignment="1" pivotButton="0" quotePrefix="0" xfId="0">
      <alignment horizontal="right"/>
    </xf>
    <xf numFmtId="0" fontId="27" fillId="0" borderId="22" applyAlignment="1" pivotButton="0" quotePrefix="0" xfId="0">
      <alignment horizontal="left" vertical="center"/>
    </xf>
    <xf numFmtId="4" fontId="27" fillId="0" borderId="43" applyAlignment="1" pivotButton="0" quotePrefix="0" xfId="0">
      <alignment horizontal="right"/>
    </xf>
    <xf numFmtId="0" fontId="23" fillId="0" borderId="26" applyAlignment="1" pivotButton="0" quotePrefix="0" xfId="0">
      <alignment horizontal="left" vertical="top"/>
    </xf>
    <xf numFmtId="0" fontId="23" fillId="0" borderId="11" applyAlignment="1" pivotButton="0" quotePrefix="0" xfId="0">
      <alignment vertical="top"/>
    </xf>
    <xf numFmtId="4" fontId="23" fillId="0" borderId="10" applyAlignment="1" pivotButton="0" quotePrefix="0" xfId="0">
      <alignment horizontal="right" vertical="center"/>
    </xf>
    <xf numFmtId="0" fontId="23" fillId="0" borderId="10" applyAlignment="1" pivotButton="0" quotePrefix="0" xfId="0">
      <alignment horizontal="left" vertical="center"/>
    </xf>
    <xf numFmtId="0" fontId="23" fillId="0" borderId="27" applyAlignment="1" pivotButton="0" quotePrefix="0" xfId="0">
      <alignment horizontal="left" vertical="center"/>
    </xf>
    <xf numFmtId="4" fontId="23" fillId="0" borderId="10" applyAlignment="1" pivotButton="0" quotePrefix="0" xfId="0">
      <alignment horizontal="right"/>
    </xf>
    <xf numFmtId="4" fontId="23" fillId="0" borderId="47" applyAlignment="1" pivotButton="0" quotePrefix="0" xfId="0">
      <alignment horizontal="right"/>
    </xf>
    <xf numFmtId="0" fontId="23" fillId="0" borderId="21" applyAlignment="1" pivotButton="0" quotePrefix="0" xfId="0">
      <alignment horizontal="left"/>
    </xf>
    <xf numFmtId="0" fontId="23" fillId="0" borderId="21" pivotButton="0" quotePrefix="0" xfId="0"/>
    <xf numFmtId="4" fontId="23" fillId="0" borderId="21" applyAlignment="1" pivotButton="0" quotePrefix="0" xfId="0">
      <alignment horizontal="right"/>
    </xf>
    <xf numFmtId="0" fontId="23" fillId="0" borderId="21" applyAlignment="1" pivotButton="0" quotePrefix="0" xfId="0">
      <alignment horizontal="left" vertical="center"/>
    </xf>
    <xf numFmtId="4" fontId="29" fillId="2" borderId="35" applyAlignment="1" pivotButton="0" quotePrefix="0" xfId="0">
      <alignment horizontal="right" vertical="center"/>
    </xf>
    <xf numFmtId="4" fontId="29" fillId="2" borderId="36" applyAlignment="1" pivotButton="0" quotePrefix="0" xfId="0">
      <alignment horizontal="right" vertical="center"/>
    </xf>
    <xf numFmtId="4" fontId="29" fillId="2" borderId="41" applyAlignment="1" pivotButton="0" quotePrefix="0" xfId="0">
      <alignment horizontal="right" vertical="center"/>
    </xf>
    <xf numFmtId="4" fontId="30" fillId="0" borderId="0" applyAlignment="1" pivotButton="0" quotePrefix="0" xfId="0">
      <alignment horizontal="right"/>
    </xf>
    <xf numFmtId="4" fontId="29" fillId="0" borderId="0" applyAlignment="1" pivotButton="0" quotePrefix="0" xfId="0">
      <alignment horizontal="right"/>
    </xf>
    <xf numFmtId="0" fontId="31" fillId="0" borderId="0" applyAlignment="1" pivotButton="0" quotePrefix="0" xfId="0">
      <alignment vertical="center"/>
    </xf>
    <xf numFmtId="0" fontId="31" fillId="0" borderId="0" applyAlignment="1" pivotButton="0" quotePrefix="0" xfId="0">
      <alignment horizontal="left" vertical="center"/>
    </xf>
    <xf numFmtId="164" fontId="8" fillId="0" borderId="0" pivotButton="0" quotePrefix="0" xfId="1"/>
    <xf numFmtId="0" fontId="32" fillId="0" borderId="0" pivotButton="0" quotePrefix="0" xfId="2"/>
    <xf numFmtId="4" fontId="33" fillId="0" borderId="9" applyAlignment="1" pivotButton="0" quotePrefix="0" xfId="0">
      <alignment horizontal="center" vertical="center"/>
    </xf>
    <xf numFmtId="0" fontId="29" fillId="2" borderId="3" applyAlignment="1" pivotButton="0" quotePrefix="0" xfId="0">
      <alignment horizontal="left" vertical="center"/>
    </xf>
    <xf numFmtId="4" fontId="29" fillId="2" borderId="19" applyAlignment="1" pivotButton="0" quotePrefix="0" xfId="0">
      <alignment horizontal="right"/>
    </xf>
    <xf numFmtId="4" fontId="18" fillId="4" borderId="20" applyAlignment="1" pivotButton="0" quotePrefix="0" xfId="0">
      <alignment horizontal="right"/>
    </xf>
    <xf numFmtId="0" fontId="23" fillId="0" borderId="34" applyAlignment="1" pivotButton="0" quotePrefix="0" xfId="0">
      <alignment horizontal="left" vertical="center"/>
    </xf>
    <xf numFmtId="0" fontId="23" fillId="0" borderId="38" applyAlignment="1" pivotButton="0" quotePrefix="0" xfId="0">
      <alignment horizontal="left" vertical="center"/>
    </xf>
    <xf numFmtId="4" fontId="23" fillId="0" borderId="36" applyAlignment="1" pivotButton="0" quotePrefix="0" xfId="0">
      <alignment horizontal="right"/>
    </xf>
    <xf numFmtId="4" fontId="24" fillId="4" borderId="35" applyAlignment="1" pivotButton="0" quotePrefix="0" xfId="0">
      <alignment horizontal="right"/>
    </xf>
    <xf numFmtId="4" fontId="23" fillId="0" borderId="35" applyAlignment="1" pivotButton="0" quotePrefix="0" xfId="0">
      <alignment horizontal="right"/>
    </xf>
    <xf numFmtId="0" fontId="23" fillId="0" borderId="34" applyAlignment="1" pivotButton="0" quotePrefix="0" xfId="0">
      <alignment horizontal="left"/>
    </xf>
    <xf numFmtId="0" fontId="23" fillId="0" borderId="38" applyAlignment="1" pivotButton="0" quotePrefix="0" xfId="0">
      <alignment horizontal="left"/>
    </xf>
    <xf numFmtId="0" fontId="23" fillId="0" borderId="38" pivotButton="0" quotePrefix="0" xfId="0"/>
    <xf numFmtId="0" fontId="29" fillId="2" borderId="8" applyAlignment="1" pivotButton="0" quotePrefix="0" xfId="0">
      <alignment horizontal="left"/>
    </xf>
    <xf numFmtId="4" fontId="24" fillId="4" borderId="0" applyAlignment="1" pivotButton="0" quotePrefix="0" xfId="0">
      <alignment horizontal="right"/>
    </xf>
    <xf numFmtId="4" fontId="29" fillId="2" borderId="34" applyAlignment="1" pivotButton="0" quotePrefix="0" xfId="0">
      <alignment horizontal="right" vertical="center"/>
    </xf>
    <xf numFmtId="4" fontId="18" fillId="4" borderId="35" applyAlignment="1" pivotButton="0" quotePrefix="0" xfId="0">
      <alignment horizontal="right" vertical="center"/>
    </xf>
    <xf numFmtId="4" fontId="18" fillId="4" borderId="0" applyAlignment="1" pivotButton="0" quotePrefix="0" xfId="0">
      <alignment horizontal="right"/>
    </xf>
    <xf numFmtId="0" fontId="23" fillId="0" borderId="23" applyAlignment="1" pivotButton="0" quotePrefix="0" xfId="0">
      <alignment horizontal="left" vertical="center"/>
    </xf>
    <xf numFmtId="0" fontId="23" fillId="0" borderId="49" applyAlignment="1" pivotButton="0" quotePrefix="0" xfId="0">
      <alignment vertical="center"/>
    </xf>
    <xf numFmtId="4" fontId="33" fillId="0" borderId="50" applyAlignment="1" pivotButton="0" quotePrefix="0" xfId="0">
      <alignment horizontal="center" vertical="center"/>
    </xf>
    <xf numFmtId="4" fontId="33" fillId="4" borderId="50" applyAlignment="1" pivotButton="0" quotePrefix="0" xfId="0">
      <alignment horizontal="center" vertical="center"/>
    </xf>
    <xf numFmtId="0" fontId="29" fillId="2" borderId="3" applyAlignment="1" pivotButton="0" quotePrefix="0" xfId="0">
      <alignment horizontal="left"/>
    </xf>
    <xf numFmtId="4" fontId="29" fillId="2" borderId="13" applyAlignment="1" pivotButton="0" quotePrefix="0" xfId="0">
      <alignment horizontal="right"/>
    </xf>
    <xf numFmtId="4" fontId="18" fillId="4" borderId="14" applyAlignment="1" pivotButton="0" quotePrefix="0" xfId="0">
      <alignment horizontal="right"/>
    </xf>
    <xf numFmtId="4" fontId="29" fillId="2" borderId="14" applyAlignment="1" pivotButton="0" quotePrefix="0" xfId="0">
      <alignment horizontal="right"/>
    </xf>
    <xf numFmtId="4" fontId="24" fillId="4" borderId="20" applyAlignment="1" pivotButton="0" quotePrefix="0" xfId="0">
      <alignment horizontal="right"/>
    </xf>
    <xf numFmtId="4" fontId="23" fillId="0" borderId="20" applyAlignment="1" pivotButton="0" quotePrefix="0" xfId="0">
      <alignment horizontal="right"/>
    </xf>
    <xf numFmtId="0" fontId="23" fillId="0" borderId="39" applyAlignment="1" pivotButton="0" quotePrefix="0" xfId="0">
      <alignment horizontal="left"/>
    </xf>
    <xf numFmtId="0" fontId="23" fillId="0" borderId="26" applyAlignment="1" pivotButton="0" quotePrefix="0" xfId="0">
      <alignment horizontal="left"/>
    </xf>
    <xf numFmtId="0" fontId="23" fillId="0" borderId="11" pivotButton="0" quotePrefix="0" xfId="0"/>
    <xf numFmtId="4" fontId="24" fillId="4" borderId="12" applyAlignment="1" pivotButton="0" quotePrefix="0" xfId="0">
      <alignment horizontal="right"/>
    </xf>
    <xf numFmtId="4" fontId="23" fillId="0" borderId="12" applyAlignment="1" pivotButton="0" quotePrefix="0" xfId="0">
      <alignment horizontal="right"/>
    </xf>
    <xf numFmtId="0" fontId="23" fillId="0" borderId="39" applyAlignment="1" pivotButton="0" quotePrefix="0" xfId="0">
      <alignment horizontal="left" vertical="center"/>
    </xf>
    <xf numFmtId="4" fontId="23" fillId="0" borderId="24" applyAlignment="1" pivotButton="0" quotePrefix="0" xfId="0">
      <alignment horizontal="right"/>
    </xf>
    <xf numFmtId="4" fontId="24" fillId="4" borderId="1" applyAlignment="1" pivotButton="0" quotePrefix="0" xfId="0">
      <alignment horizontal="right"/>
    </xf>
    <xf numFmtId="4" fontId="23" fillId="0" borderId="1" applyAlignment="1" pivotButton="0" quotePrefix="0" xfId="0">
      <alignment horizontal="right"/>
    </xf>
    <xf numFmtId="4" fontId="24" fillId="4" borderId="3" applyAlignment="1" pivotButton="0" quotePrefix="0" xfId="0">
      <alignment horizontal="right"/>
    </xf>
    <xf numFmtId="4" fontId="30" fillId="0" borderId="3" applyAlignment="1" pivotButton="0" quotePrefix="0" xfId="0">
      <alignment horizontal="right"/>
    </xf>
    <xf numFmtId="4" fontId="18" fillId="4" borderId="3" applyAlignment="1" pivotButton="0" quotePrefix="0" xfId="0">
      <alignment horizontal="right"/>
    </xf>
    <xf numFmtId="4" fontId="29" fillId="0" borderId="3" applyAlignment="1" pivotButton="0" quotePrefix="0" xfId="0">
      <alignment horizontal="right"/>
    </xf>
    <xf numFmtId="0" fontId="34" fillId="0" borderId="40" applyAlignment="1" pivotButton="0" quotePrefix="0" xfId="3">
      <alignment horizontal="center" vertical="center" wrapText="1"/>
    </xf>
    <xf numFmtId="0" fontId="34" fillId="0" borderId="38" applyAlignment="1" pivotButton="0" quotePrefix="0" xfId="3">
      <alignment horizontal="center" vertical="center"/>
    </xf>
    <xf numFmtId="0" fontId="34" fillId="0" borderId="41" applyAlignment="1" pivotButton="0" quotePrefix="0" xfId="3">
      <alignment horizontal="center" vertical="center"/>
    </xf>
    <xf numFmtId="0" fontId="35" fillId="2" borderId="40" applyAlignment="1" pivotButton="0" quotePrefix="0" xfId="3">
      <alignment vertical="center"/>
    </xf>
    <xf numFmtId="0" fontId="35" fillId="2" borderId="38" applyAlignment="1" pivotButton="0" quotePrefix="0" xfId="3">
      <alignment vertical="center"/>
    </xf>
    <xf numFmtId="17" fontId="20" fillId="2" borderId="46" applyAlignment="1" pivotButton="0" quotePrefix="0" xfId="3">
      <alignment horizontal="center" vertical="center"/>
    </xf>
    <xf numFmtId="0" fontId="20" fillId="2" borderId="46" applyAlignment="1" pivotButton="0" quotePrefix="0" xfId="3">
      <alignment horizontal="center" vertical="center"/>
    </xf>
    <xf numFmtId="0" fontId="20" fillId="2" borderId="46" applyAlignment="1" pivotButton="0" quotePrefix="0" xfId="3">
      <alignment horizontal="center" vertical="center" wrapText="1"/>
    </xf>
    <xf numFmtId="0" fontId="36" fillId="3" borderId="37" applyAlignment="1" pivotButton="0" quotePrefix="0" xfId="3">
      <alignment vertical="center"/>
    </xf>
    <xf numFmtId="0" fontId="36" fillId="3" borderId="21" applyAlignment="1" pivotButton="0" quotePrefix="0" xfId="3">
      <alignment vertical="center"/>
    </xf>
    <xf numFmtId="0" fontId="36" fillId="3" borderId="43" applyAlignment="1" pivotButton="0" quotePrefix="0" xfId="3">
      <alignment vertical="center"/>
    </xf>
    <xf numFmtId="17" fontId="8" fillId="0" borderId="0" pivotButton="0" quotePrefix="0" xfId="0"/>
    <xf numFmtId="0" fontId="37" fillId="0" borderId="44" applyAlignment="1" pivotButton="0" quotePrefix="0" xfId="3">
      <alignment horizontal="center"/>
    </xf>
    <xf numFmtId="2" fontId="8" fillId="0" borderId="0" pivotButton="0" quotePrefix="0" xfId="0"/>
    <xf numFmtId="0" fontId="8" fillId="0" borderId="42" applyAlignment="1" pivotButton="0" quotePrefix="0" xfId="3">
      <alignment horizontal="center"/>
    </xf>
    <xf numFmtId="2" fontId="8" fillId="0" borderId="0" applyAlignment="1" pivotButton="0" quotePrefix="0" xfId="0">
      <alignment horizontal="right"/>
    </xf>
    <xf numFmtId="0" fontId="8" fillId="0" borderId="46" applyAlignment="1" pivotButton="0" quotePrefix="0" xfId="3">
      <alignment horizontal="left" vertical="center"/>
    </xf>
    <xf numFmtId="0" fontId="8" fillId="0" borderId="42" applyAlignment="1" pivotButton="0" quotePrefix="0" xfId="3">
      <alignment horizontal="center" vertical="center"/>
    </xf>
    <xf numFmtId="4" fontId="8" fillId="0" borderId="42" applyAlignment="1" pivotButton="0" quotePrefix="0" xfId="3">
      <alignment horizontal="center" vertical="center"/>
    </xf>
    <xf numFmtId="0" fontId="8" fillId="0" borderId="40" applyAlignment="1" pivotButton="0" quotePrefix="0" xfId="3">
      <alignment horizontal="left" vertical="center"/>
    </xf>
    <xf numFmtId="0" fontId="8" fillId="0" borderId="27" applyAlignment="1" pivotButton="0" quotePrefix="0" xfId="3">
      <alignment horizontal="center" vertical="center"/>
    </xf>
    <xf numFmtId="4" fontId="9" fillId="0" borderId="27" applyAlignment="1" pivotButton="0" quotePrefix="0" xfId="3">
      <alignment horizontal="center" vertical="center"/>
    </xf>
    <xf numFmtId="4" fontId="9" fillId="0" borderId="47" applyAlignment="1" pivotButton="0" quotePrefix="0" xfId="3">
      <alignment horizontal="center" vertical="center"/>
    </xf>
    <xf numFmtId="17" fontId="20" fillId="2" borderId="21" applyAlignment="1" pivotButton="0" quotePrefix="0" xfId="0">
      <alignment horizontal="center"/>
    </xf>
    <xf numFmtId="0" fontId="36" fillId="0" borderId="37" applyAlignment="1" pivotButton="0" quotePrefix="0" xfId="3">
      <alignment vertical="center"/>
    </xf>
    <xf numFmtId="0" fontId="36" fillId="0" borderId="21" applyAlignment="1" pivotButton="0" quotePrefix="0" xfId="3">
      <alignment vertical="center"/>
    </xf>
    <xf numFmtId="0" fontId="36" fillId="0" borderId="43" applyAlignment="1" pivotButton="0" quotePrefix="0" xfId="3">
      <alignment vertical="center"/>
    </xf>
    <xf numFmtId="0" fontId="8" fillId="0" borderId="45" applyAlignment="1" pivotButton="0" quotePrefix="0" xfId="3">
      <alignment horizontal="left" vertical="center"/>
    </xf>
    <xf numFmtId="0" fontId="8" fillId="0" borderId="0" applyAlignment="1" pivotButton="0" quotePrefix="0" xfId="3">
      <alignment horizontal="center"/>
    </xf>
    <xf numFmtId="4" fontId="8" fillId="0" borderId="27" applyAlignment="1" pivotButton="0" quotePrefix="0" xfId="3">
      <alignment horizontal="center" vertical="center"/>
    </xf>
    <xf numFmtId="1" fontId="38" fillId="4" borderId="5" applyAlignment="1" pivotButton="0" quotePrefix="0" xfId="0">
      <alignment horizontal="center"/>
    </xf>
    <xf numFmtId="0" fontId="38" fillId="4" borderId="2" applyAlignment="1" pivotButton="0" quotePrefix="0" xfId="0">
      <alignment horizontal="center"/>
    </xf>
    <xf numFmtId="1" fontId="38" fillId="4" borderId="29" applyAlignment="1" pivotButton="0" quotePrefix="0" xfId="0">
      <alignment horizontal="center"/>
    </xf>
    <xf numFmtId="0" fontId="38" fillId="4" borderId="18" pivotButton="0" quotePrefix="0" xfId="0"/>
    <xf numFmtId="164" fontId="38" fillId="4" borderId="14" pivotButton="0" quotePrefix="0" xfId="1"/>
    <xf numFmtId="1" fontId="39" fillId="4" borderId="5" applyAlignment="1" pivotButton="0" quotePrefix="0" xfId="0">
      <alignment horizontal="center"/>
    </xf>
    <xf numFmtId="0" fontId="39" fillId="4" borderId="2" pivotButton="0" quotePrefix="0" xfId="0"/>
    <xf numFmtId="164" fontId="39" fillId="4" borderId="9" pivotButton="0" quotePrefix="0" xfId="1"/>
    <xf numFmtId="1" fontId="38" fillId="4" borderId="30" applyAlignment="1" pivotButton="0" quotePrefix="0" xfId="0">
      <alignment horizontal="center"/>
    </xf>
    <xf numFmtId="0" fontId="38" fillId="4" borderId="4" pivotButton="0" quotePrefix="0" xfId="0"/>
    <xf numFmtId="164" fontId="38" fillId="4" borderId="20" pivotButton="0" quotePrefix="0" xfId="1"/>
    <xf numFmtId="164" fontId="38" fillId="4" borderId="20" applyAlignment="1" pivotButton="0" quotePrefix="0" xfId="1">
      <alignment horizontal="center"/>
    </xf>
    <xf numFmtId="164" fontId="38" fillId="4" borderId="14" applyAlignment="1" pivotButton="0" quotePrefix="0" xfId="1">
      <alignment horizontal="left"/>
    </xf>
    <xf numFmtId="0" fontId="34" fillId="2" borderId="44" applyAlignment="1" pivotButton="0" quotePrefix="0" xfId="0">
      <alignment vertical="center" shrinkToFit="1"/>
    </xf>
    <xf numFmtId="0" fontId="34" fillId="2" borderId="43" applyAlignment="1" pivotButton="0" quotePrefix="0" xfId="0">
      <alignment vertical="center" shrinkToFit="1"/>
    </xf>
    <xf numFmtId="1" fontId="34" fillId="4" borderId="29" applyAlignment="1" pivotButton="0" quotePrefix="0" xfId="0">
      <alignment horizontal="center"/>
    </xf>
    <xf numFmtId="0" fontId="34" fillId="4" borderId="18" pivotButton="0" quotePrefix="0" xfId="0"/>
    <xf numFmtId="164" fontId="34" fillId="4" borderId="14" pivotButton="0" quotePrefix="0" xfId="1"/>
    <xf numFmtId="1" fontId="34" fillId="4" borderId="32" applyAlignment="1" pivotButton="0" quotePrefix="0" xfId="0">
      <alignment horizontal="center"/>
    </xf>
    <xf numFmtId="0" fontId="34" fillId="4" borderId="33" pivotButton="0" quotePrefix="0" xfId="0"/>
    <xf numFmtId="164" fontId="34" fillId="4" borderId="55" pivotButton="0" quotePrefix="0" xfId="1"/>
    <xf numFmtId="0" fontId="39" fillId="4" borderId="0" pivotButton="0" quotePrefix="0" xfId="0"/>
    <xf numFmtId="0" fontId="38" fillId="4" borderId="0" pivotButton="0" quotePrefix="0" xfId="0"/>
    <xf numFmtId="0" fontId="39" fillId="0" borderId="0" pivotButton="0" quotePrefix="0" xfId="0"/>
    <xf numFmtId="17" fontId="38" fillId="4" borderId="25" applyAlignment="1" pivotButton="0" quotePrefix="0" xfId="0">
      <alignment horizontal="center"/>
    </xf>
    <xf numFmtId="17" fontId="38" fillId="4" borderId="9" applyAlignment="1" pivotButton="0" quotePrefix="0" xfId="0">
      <alignment horizontal="center"/>
    </xf>
    <xf numFmtId="164" fontId="34" fillId="2" borderId="43" applyAlignment="1" pivotButton="0" quotePrefix="0" xfId="1">
      <alignment vertical="center" shrinkToFit="1"/>
    </xf>
    <xf numFmtId="0" fontId="42" fillId="4" borderId="2" pivotButton="0" quotePrefix="0" xfId="0"/>
    <xf numFmtId="164" fontId="42" fillId="4" borderId="9" pivotButton="0" quotePrefix="0" xfId="1"/>
    <xf numFmtId="0" fontId="43" fillId="0" borderId="0" pivotButton="0" quotePrefix="0" xfId="0"/>
    <xf numFmtId="0" fontId="9" fillId="0" borderId="52" pivotButton="0" quotePrefix="0" xfId="0"/>
    <xf numFmtId="0" fontId="8" fillId="0" borderId="48" pivotButton="0" quotePrefix="0" xfId="0"/>
    <xf numFmtId="4" fontId="8" fillId="0" borderId="18" pivotButton="0" quotePrefix="0" xfId="0"/>
    <xf numFmtId="4" fontId="8" fillId="0" borderId="14" pivotButton="0" quotePrefix="0" xfId="0"/>
    <xf numFmtId="4" fontId="0" fillId="0" borderId="0" pivotButton="0" quotePrefix="0" xfId="0"/>
    <xf numFmtId="0" fontId="8" fillId="0" borderId="54" pivotButton="0" quotePrefix="0" xfId="0"/>
    <xf numFmtId="4" fontId="8" fillId="0" borderId="33" pivotButton="0" quotePrefix="0" xfId="0"/>
    <xf numFmtId="4" fontId="8" fillId="0" borderId="55" pivotButton="0" quotePrefix="0" xfId="0"/>
    <xf numFmtId="0" fontId="9" fillId="0" borderId="61" applyAlignment="1" pivotButton="0" quotePrefix="0" xfId="0">
      <alignment horizontal="center" vertical="center" wrapText="1"/>
    </xf>
    <xf numFmtId="0" fontId="9" fillId="0" borderId="53" applyAlignment="1" pivotButton="0" quotePrefix="0" xfId="0">
      <alignment horizontal="center" vertical="center"/>
    </xf>
    <xf numFmtId="0" fontId="9" fillId="0" borderId="50" applyAlignment="1" pivotButton="0" quotePrefix="0" xfId="0">
      <alignment horizontal="center" vertical="center"/>
    </xf>
    <xf numFmtId="0" fontId="23" fillId="0" borderId="0" applyAlignment="1" pivotButton="0" quotePrefix="0" xfId="0">
      <alignment horizontal="justify"/>
    </xf>
    <xf numFmtId="165" fontId="9" fillId="0" borderId="53" applyAlignment="1" pivotButton="0" quotePrefix="0" xfId="0">
      <alignment horizontal="center" vertical="center"/>
    </xf>
    <xf numFmtId="0" fontId="23" fillId="0" borderId="0" applyAlignment="1" pivotButton="0" quotePrefix="0" xfId="0">
      <alignment horizontal="justify" wrapText="1"/>
    </xf>
    <xf numFmtId="4" fontId="44" fillId="4" borderId="46" pivotButton="0" quotePrefix="0" xfId="9"/>
    <xf numFmtId="164" fontId="9" fillId="4" borderId="9" pivotButton="0" quotePrefix="0" xfId="1"/>
    <xf numFmtId="2" fontId="9" fillId="4" borderId="2" pivotButton="0" quotePrefix="0" xfId="0"/>
    <xf numFmtId="17" fontId="27" fillId="0" borderId="25" applyAlignment="1" pivotButton="0" quotePrefix="0" xfId="0">
      <alignment horizontal="center" vertical="center"/>
    </xf>
    <xf numFmtId="17" fontId="27" fillId="0" borderId="56" applyAlignment="1" pivotButton="0" quotePrefix="0" xfId="0">
      <alignment horizontal="center" vertical="center"/>
    </xf>
    <xf numFmtId="0" fontId="45" fillId="0" borderId="0" pivotButton="0" quotePrefix="0" xfId="0"/>
    <xf numFmtId="0" fontId="46" fillId="0" borderId="18" applyAlignment="1" pivotButton="0" quotePrefix="0" xfId="0">
      <alignment horizontal="left" vertical="center"/>
    </xf>
    <xf numFmtId="4" fontId="46" fillId="0" borderId="18" applyAlignment="1" pivotButton="0" quotePrefix="0" xfId="0">
      <alignment horizontal="right"/>
    </xf>
    <xf numFmtId="0" fontId="47" fillId="0" borderId="18" applyAlignment="1" pivotButton="0" quotePrefix="0" xfId="0">
      <alignment horizontal="left" vertical="center"/>
    </xf>
    <xf numFmtId="4" fontId="47" fillId="0" borderId="18" applyAlignment="1" pivotButton="0" quotePrefix="0" xfId="0">
      <alignment horizontal="right"/>
    </xf>
    <xf numFmtId="166" fontId="45" fillId="0" borderId="0" pivotButton="0" quotePrefix="0" xfId="1"/>
    <xf numFmtId="4" fontId="48" fillId="0" borderId="0" applyAlignment="1" pivotButton="0" quotePrefix="0" xfId="0">
      <alignment horizontal="center"/>
    </xf>
    <xf numFmtId="0" fontId="3" fillId="0" borderId="0" applyAlignment="1" pivotButton="0" quotePrefix="0" xfId="0">
      <alignment horizontal="right"/>
    </xf>
    <xf numFmtId="0" fontId="49" fillId="0" borderId="0" applyAlignment="1" pivotButton="0" quotePrefix="0" xfId="0">
      <alignment horizontal="right"/>
    </xf>
    <xf numFmtId="0" fontId="7" fillId="0" borderId="0" pivotButton="0" quotePrefix="0" xfId="0"/>
    <xf numFmtId="0" fontId="50" fillId="0" borderId="0" applyAlignment="1" pivotButton="0" quotePrefix="0" xfId="2">
      <alignment horizontal="center" vertical="center"/>
    </xf>
    <xf numFmtId="0" fontId="51" fillId="0" borderId="0" applyAlignment="1" pivotButton="0" quotePrefix="0" xfId="0">
      <alignment horizontal="center" vertical="center"/>
    </xf>
    <xf numFmtId="0" fontId="31" fillId="0" borderId="0" applyAlignment="1" pivotButton="0" quotePrefix="0" xfId="0">
      <alignment horizontal="center" vertical="center"/>
    </xf>
    <xf numFmtId="17" fontId="20" fillId="2" borderId="18" applyAlignment="1" pivotButton="0" quotePrefix="0" xfId="3">
      <alignment horizontal="left" vertical="center"/>
    </xf>
    <xf numFmtId="17" fontId="20" fillId="2" borderId="18" applyAlignment="1" pivotButton="0" quotePrefix="0" xfId="0">
      <alignment horizontal="center"/>
    </xf>
    <xf numFmtId="164" fontId="34" fillId="2" borderId="18" applyAlignment="1" pivotButton="0" quotePrefix="0" xfId="1">
      <alignment vertical="center" shrinkToFit="1"/>
    </xf>
    <xf numFmtId="4" fontId="9" fillId="4" borderId="40" pivotButton="0" quotePrefix="0" xfId="9"/>
    <xf numFmtId="4" fontId="9" fillId="4" borderId="35" pivotButton="0" quotePrefix="0" xfId="9"/>
    <xf numFmtId="4" fontId="9" fillId="0" borderId="62" pivotButton="0" quotePrefix="0" xfId="9"/>
    <xf numFmtId="4" fontId="8" fillId="4" borderId="13" pivotButton="0" quotePrefix="0" xfId="9"/>
    <xf numFmtId="4" fontId="8" fillId="4" borderId="63" pivotButton="0" quotePrefix="0" xfId="9"/>
    <xf numFmtId="4" fontId="8" fillId="4" borderId="9" pivotButton="0" quotePrefix="0" xfId="9"/>
    <xf numFmtId="4" fontId="9" fillId="4" borderId="64" pivotButton="0" quotePrefix="0" xfId="9"/>
    <xf numFmtId="4" fontId="9" fillId="4" borderId="13" pivotButton="0" quotePrefix="0" xfId="9"/>
    <xf numFmtId="17" fontId="20" fillId="2" borderId="43" applyAlignment="1" pivotButton="0" quotePrefix="0" xfId="0">
      <alignment horizontal="center" vertical="center" wrapText="1"/>
    </xf>
    <xf numFmtId="0" fontId="20" fillId="2" borderId="18" applyAlignment="1" pivotButton="0" quotePrefix="0" xfId="0">
      <alignment horizontal="left"/>
    </xf>
    <xf numFmtId="4" fontId="5" fillId="0" borderId="2" pivotButton="0" quotePrefix="0" xfId="0"/>
    <xf numFmtId="3" fontId="0" fillId="0" borderId="0" pivotButton="0" quotePrefix="0" xfId="0"/>
    <xf numFmtId="4" fontId="0" fillId="0" borderId="0" applyAlignment="1" pivotButton="0" quotePrefix="0" xfId="0">
      <alignment horizontal="right" vertical="top"/>
    </xf>
    <xf numFmtId="0" fontId="0" fillId="5" borderId="18" applyAlignment="1" pivotButton="0" quotePrefix="0" xfId="0">
      <alignment vertical="top"/>
    </xf>
    <xf numFmtId="0" fontId="0" fillId="5" borderId="18" applyAlignment="1" pivotButton="0" quotePrefix="0" xfId="0">
      <alignment vertical="top" wrapText="1"/>
    </xf>
    <xf numFmtId="0" fontId="0" fillId="0" borderId="0" applyAlignment="1" pivotButton="0" quotePrefix="0" xfId="0">
      <alignment vertical="top"/>
    </xf>
    <xf numFmtId="4" fontId="52" fillId="0" borderId="0" pivotButton="0" quotePrefix="0" xfId="0"/>
    <xf numFmtId="0" fontId="21" fillId="4" borderId="14" pivotButton="0" quotePrefix="0" xfId="0"/>
    <xf numFmtId="1" fontId="20" fillId="2" borderId="5" applyAlignment="1" pivotButton="0" quotePrefix="0" xfId="0">
      <alignment horizontal="center"/>
    </xf>
    <xf numFmtId="0" fontId="20" fillId="2" borderId="0" applyAlignment="1" pivotButton="0" quotePrefix="0" xfId="0">
      <alignment horizontal="center"/>
    </xf>
    <xf numFmtId="3" fontId="54" fillId="0" borderId="0" pivotButton="0" quotePrefix="0" xfId="0"/>
    <xf numFmtId="3" fontId="55" fillId="0" borderId="0" pivotButton="0" quotePrefix="0" xfId="0"/>
    <xf numFmtId="4" fontId="55" fillId="0" borderId="0" applyAlignment="1" pivotButton="0" quotePrefix="0" xfId="0">
      <alignment horizontal="right"/>
    </xf>
    <xf numFmtId="4" fontId="55" fillId="0" borderId="0" pivotButton="0" quotePrefix="0" xfId="0"/>
    <xf numFmtId="4" fontId="0" fillId="0" borderId="0" applyAlignment="1" pivotButton="0" quotePrefix="0" xfId="0">
      <alignment horizontal="right"/>
    </xf>
    <xf numFmtId="4" fontId="54" fillId="0" borderId="0" pivotButton="0" quotePrefix="0" xfId="0"/>
    <xf numFmtId="4" fontId="52" fillId="0" borderId="2" pivotButton="0" quotePrefix="0" xfId="0"/>
    <xf numFmtId="4" fontId="53" fillId="0" borderId="2" applyAlignment="1" pivotButton="0" quotePrefix="0" xfId="11">
      <alignment horizontal="right"/>
    </xf>
    <xf numFmtId="4" fontId="23" fillId="0" borderId="28" applyAlignment="1" pivotButton="0" quotePrefix="0" xfId="0">
      <alignment horizontal="right"/>
    </xf>
    <xf numFmtId="4" fontId="5" fillId="0" borderId="6" pivotButton="0" quotePrefix="0" xfId="0"/>
    <xf numFmtId="4" fontId="23" fillId="4" borderId="2" applyAlignment="1" pivotButton="0" quotePrefix="0" xfId="0">
      <alignment horizontal="right"/>
    </xf>
    <xf numFmtId="4" fontId="27" fillId="0" borderId="28" applyAlignment="1" pivotButton="0" quotePrefix="0" xfId="0">
      <alignment horizontal="right"/>
    </xf>
    <xf numFmtId="4" fontId="23" fillId="4" borderId="6" applyAlignment="1" pivotButton="0" quotePrefix="0" xfId="0">
      <alignment horizontal="right"/>
    </xf>
    <xf numFmtId="0" fontId="29" fillId="2" borderId="54" applyAlignment="1" pivotButton="0" quotePrefix="0" xfId="0">
      <alignment horizontal="left"/>
    </xf>
    <xf numFmtId="0" fontId="29" fillId="2" borderId="65" applyAlignment="1" pivotButton="0" quotePrefix="0" xfId="0">
      <alignment horizontal="left"/>
    </xf>
    <xf numFmtId="4" fontId="29" fillId="2" borderId="10" applyAlignment="1" pivotButton="0" quotePrefix="0" xfId="0">
      <alignment horizontal="right"/>
    </xf>
    <xf numFmtId="4" fontId="29" fillId="2" borderId="33" applyAlignment="1" pivotButton="0" quotePrefix="0" xfId="0">
      <alignment horizontal="right"/>
    </xf>
    <xf numFmtId="0" fontId="29" fillId="2" borderId="33" applyAlignment="1" pivotButton="0" quotePrefix="0" xfId="0">
      <alignment horizontal="left" vertical="center"/>
    </xf>
    <xf numFmtId="0" fontId="29" fillId="2" borderId="65" applyAlignment="1" pivotButton="0" quotePrefix="0" xfId="0">
      <alignment horizontal="left" vertical="center"/>
    </xf>
    <xf numFmtId="4" fontId="29" fillId="2" borderId="66" applyAlignment="1" pivotButton="0" quotePrefix="0" xfId="0">
      <alignment horizontal="right"/>
    </xf>
    <xf numFmtId="4" fontId="0" fillId="0" borderId="0" applyAlignment="1" pivotButton="0" quotePrefix="0" xfId="0">
      <alignment vertical="top"/>
    </xf>
    <xf numFmtId="2" fontId="21" fillId="4" borderId="55" pivotButton="0" quotePrefix="0" xfId="0"/>
    <xf numFmtId="166" fontId="8" fillId="0" borderId="0" pivotButton="0" quotePrefix="0" xfId="0"/>
    <xf numFmtId="4" fontId="0" fillId="0" borderId="18" pivotButton="0" quotePrefix="0" xfId="0"/>
    <xf numFmtId="4" fontId="56" fillId="0" borderId="18" pivotButton="0" quotePrefix="0" xfId="0"/>
    <xf numFmtId="0" fontId="3" fillId="0" borderId="18" pivotButton="0" quotePrefix="0" xfId="0"/>
    <xf numFmtId="0" fontId="9" fillId="0" borderId="18" applyAlignment="1" pivotButton="0" quotePrefix="0" xfId="0">
      <alignment horizontal="right"/>
    </xf>
    <xf numFmtId="0" fontId="56" fillId="0" borderId="18" applyAlignment="1" pivotButton="0" quotePrefix="0" xfId="0">
      <alignment horizontal="right"/>
    </xf>
    <xf numFmtId="0" fontId="60" fillId="0" borderId="34" applyAlignment="1" pivotButton="0" quotePrefix="0" xfId="0">
      <alignment horizontal="right"/>
    </xf>
    <xf numFmtId="4" fontId="60" fillId="0" borderId="36" pivotButton="0" quotePrefix="0" xfId="0"/>
    <xf numFmtId="4" fontId="60" fillId="0" borderId="35" pivotButton="0" quotePrefix="0" xfId="0"/>
    <xf numFmtId="0" fontId="0" fillId="0" borderId="37" pivotButton="0" quotePrefix="0" xfId="0"/>
    <xf numFmtId="17" fontId="20" fillId="2" borderId="53" applyAlignment="1" pivotButton="0" quotePrefix="0" xfId="0">
      <alignment horizontal="center" vertical="center"/>
    </xf>
    <xf numFmtId="0" fontId="0" fillId="0" borderId="5" pivotButton="0" quotePrefix="0" xfId="0"/>
    <xf numFmtId="4" fontId="0" fillId="0" borderId="14" pivotButton="0" quotePrefix="0" xfId="0"/>
    <xf numFmtId="4" fontId="0" fillId="0" borderId="6" pivotButton="0" quotePrefix="0" xfId="0"/>
    <xf numFmtId="4" fontId="56" fillId="0" borderId="14" pivotButton="0" quotePrefix="0" xfId="0"/>
    <xf numFmtId="0" fontId="0" fillId="0" borderId="45" pivotButton="0" quotePrefix="0" xfId="0"/>
    <xf numFmtId="17" fontId="20" fillId="2" borderId="50" applyAlignment="1" pivotButton="0" quotePrefix="0" xfId="0">
      <alignment horizontal="center" vertical="center"/>
    </xf>
    <xf numFmtId="4" fontId="7" fillId="0" borderId="18" applyAlignment="1" pivotButton="0" quotePrefix="0" xfId="0">
      <alignment vertical="center"/>
    </xf>
    <xf numFmtId="4" fontId="7" fillId="0" borderId="14" applyAlignment="1" pivotButton="0" quotePrefix="0" xfId="0">
      <alignment vertical="center"/>
    </xf>
    <xf numFmtId="0" fontId="44" fillId="0" borderId="18" applyAlignment="1" pivotButton="0" quotePrefix="0" xfId="0">
      <alignment horizontal="right"/>
    </xf>
    <xf numFmtId="4" fontId="61" fillId="0" borderId="18" pivotButton="0" quotePrefix="0" xfId="0"/>
    <xf numFmtId="4" fontId="61" fillId="0" borderId="14" pivotButton="0" quotePrefix="0" xfId="0"/>
    <xf numFmtId="4" fontId="49" fillId="0" borderId="14" applyAlignment="1" pivotButton="0" quotePrefix="0" xfId="0">
      <alignment vertical="center"/>
    </xf>
    <xf numFmtId="4" fontId="5" fillId="0" borderId="0" pivotButton="0" quotePrefix="0" xfId="0"/>
    <xf numFmtId="0" fontId="62" fillId="0" borderId="2" applyAlignment="1" pivotButton="0" quotePrefix="0" xfId="0">
      <alignment horizontal="left"/>
    </xf>
    <xf numFmtId="0" fontId="62" fillId="0" borderId="2" pivotButton="0" quotePrefix="0" xfId="0"/>
    <xf numFmtId="17" fontId="20" fillId="2" borderId="18" applyAlignment="1" pivotButton="0" quotePrefix="0" xfId="0">
      <alignment horizontal="center" wrapText="1"/>
    </xf>
    <xf numFmtId="4" fontId="8" fillId="6" borderId="14" pivotButton="0" quotePrefix="0" xfId="9"/>
    <xf numFmtId="4" fontId="8" fillId="6" borderId="9" pivotButton="0" quotePrefix="0" xfId="9"/>
    <xf numFmtId="0" fontId="25" fillId="0" borderId="7" pivotButton="0" quotePrefix="0" xfId="10"/>
    <xf numFmtId="4" fontId="8" fillId="4" borderId="19" pivotButton="0" quotePrefix="0" xfId="9"/>
    <xf numFmtId="4" fontId="8" fillId="4" borderId="20" pivotButton="0" quotePrefix="0" xfId="9"/>
    <xf numFmtId="4" fontId="8" fillId="6" borderId="20" pivotButton="0" quotePrefix="0" xfId="9"/>
    <xf numFmtId="4" fontId="8" fillId="6" borderId="55" pivotButton="0" quotePrefix="0" xfId="9"/>
    <xf numFmtId="4" fontId="8" fillId="4" borderId="60" pivotButton="0" quotePrefix="0" xfId="9"/>
    <xf numFmtId="0" fontId="8" fillId="0" borderId="46" pivotButton="0" quotePrefix="0" xfId="0"/>
    <xf numFmtId="4" fontId="26" fillId="0" borderId="46" pivotButton="0" quotePrefix="0" xfId="0"/>
    <xf numFmtId="4" fontId="8" fillId="0" borderId="18" applyAlignment="1" pivotButton="0" quotePrefix="0" xfId="9">
      <alignment horizontal="right" vertical="top"/>
    </xf>
    <xf numFmtId="0" fontId="20" fillId="2" borderId="37" applyAlignment="1" pivotButton="0" quotePrefix="0" xfId="0">
      <alignment horizontal="left"/>
    </xf>
    <xf numFmtId="0" fontId="25" fillId="0" borderId="37" pivotButton="0" quotePrefix="0" xfId="10"/>
    <xf numFmtId="0" fontId="25" fillId="0" borderId="32" pivotButton="0" quotePrefix="0" xfId="10"/>
    <xf numFmtId="4" fontId="8" fillId="0" borderId="28" applyAlignment="1" pivotButton="0" quotePrefix="0" xfId="9">
      <alignment horizontal="right" vertical="top"/>
    </xf>
    <xf numFmtId="4" fontId="9" fillId="4" borderId="34" pivotButton="0" quotePrefix="0" xfId="9"/>
    <xf numFmtId="4" fontId="9" fillId="4" borderId="36" pivotButton="0" quotePrefix="0" xfId="9"/>
    <xf numFmtId="4" fontId="63" fillId="0" borderId="0" pivotButton="0" quotePrefix="0" xfId="0"/>
    <xf numFmtId="4" fontId="65" fillId="0" borderId="0" pivotButton="0" quotePrefix="0" xfId="0"/>
    <xf numFmtId="164" fontId="0" fillId="0" borderId="0" pivotButton="0" quotePrefix="0" xfId="1"/>
    <xf numFmtId="2" fontId="22" fillId="4" borderId="25" pivotButton="0" quotePrefix="0" xfId="0"/>
    <xf numFmtId="2" fontId="22" fillId="4" borderId="3" pivotButton="0" quotePrefix="0" xfId="0"/>
    <xf numFmtId="2" fontId="21" fillId="4" borderId="13" pivotButton="0" quotePrefix="0" xfId="0"/>
    <xf numFmtId="2" fontId="21" fillId="4" borderId="68" pivotButton="0" quotePrefix="0" xfId="0"/>
    <xf numFmtId="4" fontId="0" fillId="0" borderId="2" pivotButton="0" quotePrefix="0" xfId="0"/>
    <xf numFmtId="4" fontId="0" fillId="0" borderId="2" applyAlignment="1" pivotButton="0" quotePrefix="0" xfId="0">
      <alignment vertical="top"/>
    </xf>
    <xf numFmtId="4" fontId="64" fillId="7" borderId="2" applyAlignment="1" pivotButton="0" quotePrefix="0" xfId="0">
      <alignment horizontal="right" vertical="top" wrapText="1"/>
    </xf>
    <xf numFmtId="164" fontId="8" fillId="0" borderId="28" pivotButton="0" quotePrefix="0" xfId="1"/>
    <xf numFmtId="164" fontId="8" fillId="0" borderId="0" pivotButton="0" quotePrefix="0" xfId="0"/>
    <xf numFmtId="4" fontId="27" fillId="4" borderId="2" applyAlignment="1" pivotButton="0" quotePrefix="0" xfId="0">
      <alignment horizontal="right"/>
    </xf>
    <xf numFmtId="4" fontId="66" fillId="0" borderId="2" pivotButton="0" quotePrefix="0" xfId="0"/>
    <xf numFmtId="4" fontId="23" fillId="0" borderId="3" applyAlignment="1" pivotButton="0" quotePrefix="0" xfId="0">
      <alignment horizontal="right"/>
    </xf>
    <xf numFmtId="0" fontId="11" fillId="0" borderId="0" applyAlignment="1" pivotButton="0" quotePrefix="0" xfId="0">
      <alignment horizontal="center"/>
    </xf>
    <xf numFmtId="0" fontId="11" fillId="0" borderId="57" applyAlignment="1" pivotButton="0" quotePrefix="0" xfId="0">
      <alignment horizontal="center"/>
    </xf>
    <xf numFmtId="0" fontId="11" fillId="0" borderId="0" applyAlignment="1" pivotButton="0" quotePrefix="0" xfId="0">
      <alignment horizontal="center" vertical="center" wrapText="1"/>
    </xf>
    <xf numFmtId="0" fontId="0" fillId="0" borderId="0" applyAlignment="1" pivotButton="0" quotePrefix="0" xfId="0">
      <alignment vertical="center" wrapText="1"/>
    </xf>
    <xf numFmtId="0" fontId="20" fillId="2" borderId="37" applyAlignment="1" pivotButton="0" quotePrefix="0" xfId="0">
      <alignment horizontal="center"/>
    </xf>
    <xf numFmtId="0" fontId="20" fillId="2" borderId="21" applyAlignment="1" pivotButton="0" quotePrefix="0" xfId="0">
      <alignment horizontal="center"/>
    </xf>
    <xf numFmtId="0" fontId="20" fillId="2" borderId="43" applyAlignment="1" pivotButton="0" quotePrefix="0" xfId="0">
      <alignment horizontal="center"/>
    </xf>
    <xf numFmtId="1" fontId="20" fillId="2" borderId="5" applyAlignment="1" pivotButton="0" quotePrefix="0" xfId="0">
      <alignment horizontal="center"/>
    </xf>
    <xf numFmtId="1" fontId="20" fillId="2" borderId="0" applyAlignment="1" pivotButton="0" quotePrefix="0" xfId="0">
      <alignment horizontal="center"/>
    </xf>
    <xf numFmtId="1" fontId="20" fillId="2" borderId="6" applyAlignment="1" pivotButton="0" quotePrefix="0" xfId="0">
      <alignment horizontal="center"/>
    </xf>
    <xf numFmtId="0" fontId="20" fillId="2" borderId="5" applyAlignment="1" pivotButton="0" quotePrefix="0" xfId="0">
      <alignment horizontal="center"/>
    </xf>
    <xf numFmtId="0" fontId="20" fillId="2" borderId="0" applyAlignment="1" pivotButton="0" quotePrefix="0" xfId="0">
      <alignment horizontal="center"/>
    </xf>
    <xf numFmtId="0" fontId="20" fillId="2" borderId="6" applyAlignment="1" pivotButton="0" quotePrefix="0" xfId="0">
      <alignment horizontal="center"/>
    </xf>
    <xf numFmtId="1" fontId="20" fillId="2" borderId="45" applyAlignment="1" pivotButton="0" quotePrefix="0" xfId="0">
      <alignment horizontal="center"/>
    </xf>
    <xf numFmtId="1" fontId="20" fillId="2" borderId="27" applyAlignment="1" pivotButton="0" quotePrefix="0" xfId="0">
      <alignment horizontal="center"/>
    </xf>
    <xf numFmtId="1" fontId="20" fillId="2" borderId="47" applyAlignment="1" pivotButton="0" quotePrefix="0" xfId="0">
      <alignment horizontal="center"/>
    </xf>
    <xf numFmtId="0" fontId="8" fillId="0" borderId="37" applyAlignment="1" pivotButton="0" quotePrefix="0" xfId="3">
      <alignment horizontal="left" vertical="center"/>
    </xf>
    <xf numFmtId="0" fontId="8" fillId="0" borderId="45" applyAlignment="1" pivotButton="0" quotePrefix="0" xfId="3">
      <alignment horizontal="left" vertical="center"/>
    </xf>
    <xf numFmtId="4" fontId="8" fillId="0" borderId="44" applyAlignment="1" pivotButton="0" quotePrefix="0" xfId="3">
      <alignment horizontal="center" vertical="center"/>
    </xf>
    <xf numFmtId="4" fontId="8" fillId="0" borderId="42" applyAlignment="1" pivotButton="0" quotePrefix="0" xfId="3">
      <alignment horizontal="center" vertical="center"/>
    </xf>
    <xf numFmtId="4" fontId="8" fillId="0" borderId="43" applyAlignment="1" pivotButton="0" quotePrefix="0" xfId="3">
      <alignment horizontal="center" vertical="center"/>
    </xf>
    <xf numFmtId="4" fontId="8" fillId="0" borderId="47" applyAlignment="1" pivotButton="0" quotePrefix="0" xfId="3">
      <alignment horizontal="center" vertical="center"/>
    </xf>
    <xf numFmtId="2" fontId="8" fillId="0" borderId="44" applyAlignment="1" pivotButton="0" quotePrefix="0" xfId="3">
      <alignment horizontal="center" vertical="center"/>
    </xf>
    <xf numFmtId="2" fontId="8" fillId="0" borderId="42" applyAlignment="1" pivotButton="0" quotePrefix="0" xfId="3">
      <alignment horizontal="center" vertical="center"/>
    </xf>
    <xf numFmtId="3" fontId="8" fillId="0" borderId="44" applyAlignment="1" pivotButton="0" quotePrefix="0" xfId="3">
      <alignment horizontal="center" vertical="center"/>
    </xf>
    <xf numFmtId="0" fontId="8" fillId="0" borderId="42" applyAlignment="1" pivotButton="0" quotePrefix="0" xfId="3">
      <alignment horizontal="center" vertical="center"/>
    </xf>
    <xf numFmtId="0" fontId="8" fillId="0" borderId="44" applyAlignment="1" pivotButton="0" quotePrefix="0" xfId="3">
      <alignment horizontal="left" vertical="center"/>
    </xf>
    <xf numFmtId="0" fontId="8" fillId="0" borderId="42" applyAlignment="1" pivotButton="0" quotePrefix="0" xfId="3">
      <alignment horizontal="left" vertical="center"/>
    </xf>
    <xf numFmtId="0" fontId="8" fillId="0" borderId="44" applyAlignment="1" pivotButton="0" quotePrefix="0" xfId="3">
      <alignment horizontal="center" vertical="center"/>
    </xf>
    <xf numFmtId="0" fontId="34" fillId="2" borderId="40" applyAlignment="1" pivotButton="0" quotePrefix="0" xfId="3">
      <alignment horizontal="center" vertical="center" wrapText="1"/>
    </xf>
    <xf numFmtId="0" fontId="34" fillId="2" borderId="38" applyAlignment="1" pivotButton="0" quotePrefix="0" xfId="3">
      <alignment horizontal="center" vertical="center"/>
    </xf>
    <xf numFmtId="0" fontId="34" fillId="2" borderId="41" applyAlignment="1" pivotButton="0" quotePrefix="0" xfId="3">
      <alignment horizontal="center" vertical="center"/>
    </xf>
    <xf numFmtId="0" fontId="58" fillId="0" borderId="48" applyAlignment="1" pivotButton="0" quotePrefix="0" xfId="0">
      <alignment horizontal="center" vertical="center" wrapText="1"/>
    </xf>
    <xf numFmtId="0" fontId="3" fillId="0" borderId="44" applyAlignment="1" pivotButton="0" quotePrefix="0" xfId="0">
      <alignment vertical="center" wrapText="1"/>
    </xf>
    <xf numFmtId="0" fontId="0" fillId="0" borderId="67" applyAlignment="1" pivotButton="0" quotePrefix="0" xfId="0">
      <alignment vertical="center" wrapText="1"/>
    </xf>
    <xf numFmtId="0" fontId="0" fillId="0" borderId="42" applyAlignment="1" pivotButton="0" quotePrefix="0" xfId="0">
      <alignment vertical="center" wrapText="1"/>
    </xf>
    <xf numFmtId="0" fontId="3" fillId="0" borderId="67" applyAlignment="1" pivotButton="0" quotePrefix="0" xfId="0">
      <alignment horizontal="center" vertical="center" wrapText="1"/>
    </xf>
    <xf numFmtId="0" fontId="0" fillId="0" borderId="67" applyAlignment="1" pivotButton="0" quotePrefix="0" xfId="0">
      <alignment horizontal="center" vertical="center" wrapText="1"/>
    </xf>
    <xf numFmtId="0" fontId="0" fillId="0" borderId="42" applyAlignment="1" pivotButton="0" quotePrefix="0" xfId="0">
      <alignment horizontal="center" vertical="center" wrapText="1"/>
    </xf>
    <xf numFmtId="0" fontId="34" fillId="2" borderId="37" applyAlignment="1" pivotButton="0" quotePrefix="0" xfId="0">
      <alignment horizontal="center" vertical="center" shrinkToFit="1"/>
    </xf>
    <xf numFmtId="0" fontId="34" fillId="2" borderId="21" applyAlignment="1" pivotButton="0" quotePrefix="0" xfId="0">
      <alignment horizontal="center" vertical="center" shrinkToFit="1"/>
    </xf>
    <xf numFmtId="0" fontId="34" fillId="2" borderId="43" applyAlignment="1" pivotButton="0" quotePrefix="0" xfId="0">
      <alignment horizontal="center" vertical="center" shrinkToFit="1"/>
    </xf>
    <xf numFmtId="14" fontId="34" fillId="2" borderId="5" applyAlignment="1" pivotButton="0" quotePrefix="0" xfId="0">
      <alignment horizontal="center" vertical="center" shrinkToFit="1"/>
    </xf>
    <xf numFmtId="14" fontId="34" fillId="2" borderId="0" applyAlignment="1" pivotButton="0" quotePrefix="0" xfId="0">
      <alignment horizontal="center" vertical="center" shrinkToFit="1"/>
    </xf>
    <xf numFmtId="14" fontId="34" fillId="2" borderId="6" applyAlignment="1" pivotButton="0" quotePrefix="0" xfId="0">
      <alignment horizontal="center" vertical="center" shrinkToFit="1"/>
    </xf>
    <xf numFmtId="0" fontId="23" fillId="0" borderId="0" applyAlignment="1" pivotButton="0" quotePrefix="0" xfId="0">
      <alignment horizontal="center"/>
    </xf>
    <xf numFmtId="0" fontId="31" fillId="0" borderId="18" applyAlignment="1" pivotButton="0" quotePrefix="0" xfId="0">
      <alignment horizontal="center" vertical="center"/>
    </xf>
    <xf numFmtId="0" fontId="34" fillId="2" borderId="37" applyAlignment="1" pivotButton="0" quotePrefix="0" xfId="3">
      <alignment horizontal="center" vertical="center" wrapText="1"/>
    </xf>
    <xf numFmtId="0" fontId="34" fillId="2" borderId="21" applyAlignment="1" pivotButton="0" quotePrefix="0" xfId="3">
      <alignment horizontal="center" vertical="center" wrapText="1"/>
    </xf>
    <xf numFmtId="0" fontId="34" fillId="2" borderId="43" applyAlignment="1" pivotButton="0" quotePrefix="0" xfId="3">
      <alignment horizontal="center" vertical="center" wrapText="1"/>
    </xf>
    <xf numFmtId="0" fontId="34" fillId="2" borderId="45" applyAlignment="1" pivotButton="0" quotePrefix="0" xfId="3">
      <alignment horizontal="center" vertical="center" wrapText="1"/>
    </xf>
    <xf numFmtId="0" fontId="34" fillId="2" borderId="27" applyAlignment="1" pivotButton="0" quotePrefix="0" xfId="3">
      <alignment horizontal="center" vertical="center" wrapText="1"/>
    </xf>
    <xf numFmtId="0" fontId="34" fillId="2" borderId="47" applyAlignment="1" pivotButton="0" quotePrefix="0" xfId="3">
      <alignment horizontal="center" vertical="center" wrapText="1"/>
    </xf>
    <xf numFmtId="0" fontId="34" fillId="2" borderId="38" applyAlignment="1" pivotButton="0" quotePrefix="0" xfId="3">
      <alignment horizontal="center" vertical="center" wrapText="1"/>
    </xf>
    <xf numFmtId="0" fontId="34" fillId="2" borderId="41" applyAlignment="1" pivotButton="0" quotePrefix="0" xfId="3">
      <alignment horizontal="center" vertical="center" wrapText="1"/>
    </xf>
    <xf numFmtId="0" fontId="9" fillId="0" borderId="48" applyAlignment="1" pivotButton="0" quotePrefix="0" xfId="0">
      <alignment horizontal="center" wrapText="1"/>
    </xf>
    <xf numFmtId="2" fontId="8" fillId="0" borderId="18" applyAlignment="1" pivotButton="0" quotePrefix="0" xfId="0">
      <alignment horizontal="center" vertical="center" wrapText="1"/>
    </xf>
    <xf numFmtId="2" fontId="8" fillId="0" borderId="14" applyAlignment="1" pivotButton="0" quotePrefix="0" xfId="0">
      <alignment horizontal="center" vertical="center" wrapText="1"/>
    </xf>
    <xf numFmtId="2" fontId="8" fillId="4" borderId="18" applyAlignment="1" pivotButton="0" quotePrefix="0" xfId="0">
      <alignment horizontal="center" vertical="center" wrapText="1"/>
    </xf>
    <xf numFmtId="0" fontId="9" fillId="0" borderId="7" applyAlignment="1" pivotButton="0" quotePrefix="0" xfId="0">
      <alignment horizontal="center" vertical="center" wrapText="1"/>
    </xf>
    <xf numFmtId="0" fontId="9" fillId="0" borderId="26" applyAlignment="1" pivotButton="0" quotePrefix="0" xfId="0">
      <alignment horizontal="center" vertical="center" wrapText="1"/>
    </xf>
    <xf numFmtId="2" fontId="8" fillId="0" borderId="33" applyAlignment="1" pivotButton="0" quotePrefix="0" xfId="0">
      <alignment horizontal="center" vertical="center" wrapText="1"/>
    </xf>
    <xf numFmtId="2" fontId="8" fillId="0" borderId="55" applyAlignment="1" pivotButton="0" quotePrefix="0" xfId="0">
      <alignment horizontal="center" vertical="center" wrapText="1"/>
    </xf>
    <xf numFmtId="0" fontId="0" fillId="0" borderId="57" pivotButton="0" quotePrefix="0" xfId="0"/>
    <xf numFmtId="0" fontId="20" fillId="2" borderId="44" applyAlignment="1" pivotButton="0" quotePrefix="0" xfId="0">
      <alignment horizontal="center"/>
    </xf>
    <xf numFmtId="0" fontId="0" fillId="0" borderId="21" pivotButton="0" quotePrefix="0" xfId="0"/>
    <xf numFmtId="0" fontId="0" fillId="0" borderId="43" pivotButton="0" quotePrefix="0" xfId="0"/>
    <xf numFmtId="164" fontId="9" fillId="0" borderId="18" pivotButton="0" quotePrefix="0" xfId="1"/>
    <xf numFmtId="164" fontId="8" fillId="0" borderId="2" pivotButton="0" quotePrefix="0" xfId="1"/>
    <xf numFmtId="164" fontId="8" fillId="0" borderId="0" pivotButton="0" quotePrefix="0" xfId="1"/>
    <xf numFmtId="164" fontId="9" fillId="0" borderId="4" pivotButton="0" quotePrefix="0" xfId="1"/>
    <xf numFmtId="166" fontId="8" fillId="0" borderId="0" pivotButton="0" quotePrefix="0" xfId="0"/>
    <xf numFmtId="164" fontId="20" fillId="2" borderId="18" pivotButton="0" quotePrefix="0" xfId="1"/>
    <xf numFmtId="164" fontId="8" fillId="0" borderId="18" pivotButton="0" quotePrefix="0" xfId="1"/>
    <xf numFmtId="164" fontId="8" fillId="0" borderId="28" pivotButton="0" quotePrefix="0" xfId="1"/>
    <xf numFmtId="164" fontId="9" fillId="0" borderId="28" pivotButton="0" quotePrefix="0" xfId="1"/>
    <xf numFmtId="164" fontId="20" fillId="2" borderId="33" pivotButton="0" quotePrefix="0" xfId="1"/>
    <xf numFmtId="0" fontId="20" fillId="2" borderId="67" applyAlignment="1" pivotButton="0" quotePrefix="0" xfId="0">
      <alignment horizontal="center"/>
    </xf>
    <xf numFmtId="0" fontId="0" fillId="0" borderId="6" pivotButton="0" quotePrefix="0" xfId="0"/>
    <xf numFmtId="1" fontId="20" fillId="2" borderId="67" applyAlignment="1" pivotButton="0" quotePrefix="0" xfId="0">
      <alignment horizontal="center"/>
    </xf>
    <xf numFmtId="164" fontId="8" fillId="0" borderId="0" pivotButton="0" quotePrefix="0" xfId="0"/>
    <xf numFmtId="1" fontId="20" fillId="2" borderId="42" applyAlignment="1" pivotButton="0" quotePrefix="0" xfId="0">
      <alignment horizontal="center"/>
    </xf>
    <xf numFmtId="0" fontId="0" fillId="0" borderId="27" pivotButton="0" quotePrefix="0" xfId="0"/>
    <xf numFmtId="0" fontId="0" fillId="0" borderId="47" pivotButton="0" quotePrefix="0" xfId="0"/>
    <xf numFmtId="0" fontId="34" fillId="2" borderId="46" applyAlignment="1" pivotButton="0" quotePrefix="0" xfId="3">
      <alignment horizontal="center" vertical="center" wrapText="1"/>
    </xf>
    <xf numFmtId="0" fontId="0" fillId="0" borderId="38" pivotButton="0" quotePrefix="0" xfId="0"/>
    <xf numFmtId="0" fontId="0" fillId="0" borderId="41" pivotButton="0" quotePrefix="0" xfId="0"/>
    <xf numFmtId="4" fontId="8" fillId="0" borderId="46" applyAlignment="1" pivotButton="0" quotePrefix="0" xfId="3">
      <alignment horizontal="center" vertical="center"/>
    </xf>
    <xf numFmtId="0" fontId="0" fillId="0" borderId="42" pivotButton="0" quotePrefix="0" xfId="0"/>
    <xf numFmtId="0" fontId="8" fillId="0" borderId="46" applyAlignment="1" pivotButton="0" quotePrefix="0" xfId="3">
      <alignment horizontal="center" vertical="center"/>
    </xf>
    <xf numFmtId="3" fontId="8" fillId="0" borderId="46" applyAlignment="1" pivotButton="0" quotePrefix="0" xfId="3">
      <alignment horizontal="center" vertical="center"/>
    </xf>
    <xf numFmtId="4" fontId="8" fillId="0" borderId="41" applyAlignment="1" pivotButton="0" quotePrefix="0" xfId="3">
      <alignment horizontal="center" vertical="center"/>
    </xf>
    <xf numFmtId="2" fontId="8" fillId="0" borderId="46" applyAlignment="1" pivotButton="0" quotePrefix="0" xfId="3">
      <alignment horizontal="center" vertical="center"/>
    </xf>
    <xf numFmtId="0" fontId="3" fillId="0" borderId="46" applyAlignment="1" pivotButton="0" quotePrefix="0" xfId="0">
      <alignment vertical="center" wrapText="1"/>
    </xf>
    <xf numFmtId="0" fontId="0" fillId="0" borderId="67" pivotButton="0" quotePrefix="0" xfId="0"/>
    <xf numFmtId="164" fontId="0" fillId="0" borderId="0" pivotButton="0" quotePrefix="0" xfId="1"/>
    <xf numFmtId="0" fontId="3" fillId="0" borderId="42" applyAlignment="1" pivotButton="0" quotePrefix="0" xfId="0">
      <alignment horizontal="center" vertical="center" wrapText="1"/>
    </xf>
    <xf numFmtId="0" fontId="0" fillId="0" borderId="8" pivotButton="0" quotePrefix="0" xfId="0"/>
    <xf numFmtId="0" fontId="0" fillId="0" borderId="59" pivotButton="0" quotePrefix="0" xfId="0"/>
    <xf numFmtId="0" fontId="34" fillId="2" borderId="44" applyAlignment="1" pivotButton="0" quotePrefix="0" xfId="0">
      <alignment horizontal="center" vertical="center" shrinkToFit="1"/>
    </xf>
    <xf numFmtId="14" fontId="34" fillId="2" borderId="67" applyAlignment="1" pivotButton="0" quotePrefix="0" xfId="0">
      <alignment horizontal="center" vertical="center" shrinkToFit="1"/>
    </xf>
    <xf numFmtId="164" fontId="38" fillId="4" borderId="14" pivotButton="0" quotePrefix="0" xfId="1"/>
    <xf numFmtId="164" fontId="39" fillId="4" borderId="9" pivotButton="0" quotePrefix="0" xfId="1"/>
    <xf numFmtId="164" fontId="38" fillId="4" borderId="20" pivotButton="0" quotePrefix="0" xfId="1"/>
    <xf numFmtId="164" fontId="38" fillId="4" borderId="20" applyAlignment="1" pivotButton="0" quotePrefix="0" xfId="1">
      <alignment horizontal="center"/>
    </xf>
    <xf numFmtId="164" fontId="38" fillId="4" borderId="14" applyAlignment="1" pivotButton="0" quotePrefix="0" xfId="1">
      <alignment horizontal="left"/>
    </xf>
    <xf numFmtId="164" fontId="42" fillId="4" borderId="9" pivotButton="0" quotePrefix="0" xfId="1"/>
    <xf numFmtId="164" fontId="34" fillId="2" borderId="43" applyAlignment="1" pivotButton="0" quotePrefix="0" xfId="1">
      <alignment vertical="center" shrinkToFit="1"/>
    </xf>
    <xf numFmtId="164" fontId="34" fillId="4" borderId="14" pivotButton="0" quotePrefix="0" xfId="1"/>
    <xf numFmtId="164" fontId="9" fillId="4" borderId="9" pivotButton="0" quotePrefix="0" xfId="1"/>
    <xf numFmtId="164" fontId="34" fillId="4" borderId="55" pivotButton="0" quotePrefix="0" xfId="1"/>
    <xf numFmtId="0" fontId="0" fillId="0" borderId="69" pivotButton="0" quotePrefix="0" xfId="0"/>
    <xf numFmtId="0" fontId="0" fillId="0" borderId="68" pivotButton="0" quotePrefix="0" xfId="0"/>
    <xf numFmtId="164" fontId="34" fillId="2" borderId="18" applyAlignment="1" pivotButton="0" quotePrefix="0" xfId="1">
      <alignment vertical="center" shrinkToFit="1"/>
    </xf>
    <xf numFmtId="166" fontId="45" fillId="0" borderId="0" pivotButton="0" quotePrefix="0" xfId="1"/>
    <xf numFmtId="165" fontId="9" fillId="0" borderId="53" applyAlignment="1" pivotButton="0" quotePrefix="0" xfId="0">
      <alignment horizontal="center" vertical="center"/>
    </xf>
    <xf numFmtId="0" fontId="0" fillId="0" borderId="28" pivotButton="0" quotePrefix="0" xfId="0"/>
    <xf numFmtId="0" fontId="0" fillId="0" borderId="60" pivotButton="0" quotePrefix="0" xfId="0"/>
    <xf numFmtId="0" fontId="9" fillId="0" borderId="54" applyAlignment="1" pivotButton="0" quotePrefix="0" xfId="0">
      <alignment horizontal="center" vertical="center" wrapText="1"/>
    </xf>
    <xf numFmtId="0" fontId="0" fillId="0" borderId="26" pivotButton="0" quotePrefix="0" xfId="0"/>
  </cellXfs>
  <cellStyles count="12">
    <cellStyle name="Normal" xfId="0" builtinId="0"/>
    <cellStyle name="Virgül" xfId="1" builtinId="3"/>
    <cellStyle name="Köprü" xfId="2" builtinId="8"/>
    <cellStyle name="Normal_2005 Aralık Tablo Analiz  2" xfId="3"/>
    <cellStyle name="Normal 2" xfId="4"/>
    <cellStyle name="Normal 3" xfId="5"/>
    <cellStyle name="Normal 4" xfId="6"/>
    <cellStyle name="Normal 2 3 6" xfId="7"/>
    <cellStyle name="Comma 2 2 3" xfId="8"/>
    <cellStyle name="Comma 2 5 2 2" xfId="9"/>
    <cellStyle name="Normal 5" xfId="10"/>
    <cellStyle name="Binlik Ayracı 13" xfId="1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erkan.gulerik</author>
  </authors>
  <commentList>
    <comment ref="C14" authorId="0" shapeId="0">
      <text>
        <t xml:space="preserve">MANUEL YAZILMALI
</t>
      </text>
    </comment>
  </commentList>
</comments>
</file>

<file path=xl/comments/comment2.xml><?xml version="1.0" encoding="utf-8"?>
<comments xmlns="http://schemas.openxmlformats.org/spreadsheetml/2006/main">
  <authors>
    <author>pinarr</author>
  </authors>
  <commentList>
    <comment ref="D14" authorId="0" shapeId="0">
      <text>
        <t xml:space="preserve">pinarr:
ELLE YAZILACAK
</t>
      </text>
    </comment>
    <comment ref="E14" authorId="0" shapeId="0">
      <text>
        <t xml:space="preserve">pinarr:
ELLE YAZILACAK
</t>
      </text>
    </comment>
    <comment ref="D20" authorId="0" shapeId="0">
      <text>
        <t xml:space="preserve">pinarr:
FİRMANIN BULUNDUĞU SEKTÖRE İLİŞKİN ORAN YAZILACAK
</t>
      </text>
    </comment>
    <comment ref="E20" authorId="0" shapeId="0">
      <text>
        <t>FİRMANIN BULUNDUĞU SEKTÖRE İLİŞKİN ORAN YAZILACAK</t>
      </text>
    </comment>
  </commentList>
</comments>
</file>

<file path=xl/comments/comment3.xml><?xml version="1.0" encoding="utf-8"?>
<comments xmlns="http://schemas.openxmlformats.org/spreadsheetml/2006/main">
  <authors>
    <author>pinarr</author>
  </authors>
  <commentList>
    <comment ref="E15" authorId="0" shapeId="0">
      <text>
        <t>pinarr:
ORTALAMA VERİNİN KU</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533400</colOff>
      <row>0</row>
      <rowOff>133350</rowOff>
    </from>
    <to>
      <col>2</col>
      <colOff>381000</colOff>
      <row>7</row>
      <rowOff>132527</rowOff>
    </to>
    <pic>
      <nvPicPr>
        <cNvPr id="4" name="Resim 3" descr="LOGO">
          <a:hlinkClick xmlns:a="http://schemas.openxmlformats.org/drawingml/2006/main" xmlns:r="http://schemas.openxmlformats.org/officeDocument/2006/relationships"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533400" y="619125"/>
          <a:ext cx="1066800" cy="1132652"/>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Sayfa1">
    <tabColor theme="0"/>
    <outlinePr summaryBelow="1" summaryRight="1"/>
    <pageSetUpPr/>
  </sheetPr>
  <dimension ref="C3:I37"/>
  <sheetViews>
    <sheetView showGridLines="0" zoomScale="115" zoomScaleNormal="115" zoomScaleSheetLayoutView="100" workbookViewId="0">
      <pane ySplit="13" topLeftCell="A14" activePane="bottomLeft" state="frozen"/>
      <selection activeCell="E22" sqref="E22"/>
      <selection pane="bottomLeft" activeCell="C12" sqref="C12:D12"/>
    </sheetView>
  </sheetViews>
  <sheetFormatPr baseColWidth="8" defaultColWidth="9.140625" defaultRowHeight="12.75"/>
  <cols>
    <col width="9.140625" customWidth="1" style="1" min="1" max="2"/>
    <col width="10" bestFit="1" customWidth="1" style="1" min="3" max="3"/>
    <col width="14.7109375" customWidth="1" style="1" min="4" max="4"/>
    <col width="5" customWidth="1" style="1" min="5" max="5"/>
    <col width="24.140625" customWidth="1" style="1" min="6" max="6"/>
    <col width="12" customWidth="1" style="1" min="7" max="7"/>
    <col hidden="1" width="9.140625" customWidth="1" style="1" min="8" max="8"/>
    <col width="9.140625" customWidth="1" style="1" min="9" max="16384"/>
  </cols>
  <sheetData>
    <row r="3">
      <c r="G3" s="2" t="n"/>
    </row>
    <row r="7">
      <c r="C7" s="3" t="n"/>
      <c r="D7" s="3" t="n"/>
      <c r="E7" s="3" t="n"/>
      <c r="F7" s="3" t="n"/>
    </row>
    <row r="8" ht="19.5" customHeight="1">
      <c r="C8" s="387" t="n"/>
      <c r="E8" s="3" t="n"/>
      <c r="F8" s="3" t="n"/>
    </row>
    <row r="9" ht="19.5" customHeight="1">
      <c r="C9" s="387" t="n"/>
      <c r="E9" s="3" t="n"/>
      <c r="F9" s="387" t="n"/>
    </row>
    <row r="10" ht="19.5" customHeight="1">
      <c r="C10" s="387" t="n"/>
      <c r="E10" s="4" t="n"/>
    </row>
    <row r="11" ht="19.5" customHeight="1">
      <c r="C11" s="388" t="inlineStr">
        <is>
          <t>2025-2026</t>
        </is>
      </c>
      <c r="D11" s="450" t="n"/>
      <c r="E11" s="5" t="n"/>
      <c r="F11" s="389" t="inlineStr">
        <is>
          <t>XXXX A.Ş.</t>
        </is>
      </c>
    </row>
    <row r="12" ht="19.5" customHeight="1">
      <c r="C12" s="388" t="inlineStr">
        <is>
          <t>OCAK-TEMMUZ</t>
        </is>
      </c>
      <c r="D12" s="450" t="n"/>
      <c r="E12" s="5" t="n"/>
      <c r="I12" s="4" t="n"/>
    </row>
    <row r="13" ht="20.25" customHeight="1" thickBot="1">
      <c r="C13" s="6" t="n"/>
      <c r="D13" s="6" t="n"/>
      <c r="E13" s="7" t="n"/>
      <c r="F13" s="6" t="n"/>
      <c r="G13" s="6" t="n"/>
    </row>
    <row r="14" ht="20.25" customHeight="1" thickTop="1">
      <c r="C14" s="4" t="n"/>
      <c r="D14" s="4" t="n"/>
      <c r="E14" s="4" t="n"/>
      <c r="F14" s="4" t="n"/>
    </row>
    <row r="15" ht="19.5" customHeight="1">
      <c r="C15" s="387" t="inlineStr">
        <is>
          <t>KARŞILAŞTIRMALI</t>
        </is>
      </c>
    </row>
    <row r="16" ht="19.5" customHeight="1">
      <c r="C16" s="387" t="inlineStr">
        <is>
          <t>FİNANSAL ANALİZ  RAPORU</t>
        </is>
      </c>
      <c r="G16" s="4" t="n"/>
    </row>
    <row r="17">
      <c r="C17" s="3" t="n"/>
      <c r="D17" s="3" t="n"/>
      <c r="E17" s="3" t="n"/>
      <c r="F17" s="3" t="n"/>
    </row>
    <row r="18">
      <c r="C18" s="3" t="n"/>
      <c r="D18" s="3" t="n"/>
      <c r="E18" s="8" t="n"/>
      <c r="F18" s="8" t="n"/>
    </row>
    <row r="19" ht="14.25" customFormat="1" customHeight="1" s="2">
      <c r="D19" s="9" t="inlineStr">
        <is>
          <t>GELİR TABLOSU</t>
        </is>
      </c>
      <c r="E19" s="10" t="n"/>
      <c r="F19" s="11" t="n"/>
    </row>
    <row r="20" ht="14.25" customFormat="1" customHeight="1" s="2">
      <c r="D20" s="9" t="inlineStr">
        <is>
          <t>VERGİ HESABI</t>
        </is>
      </c>
      <c r="E20" s="10" t="n"/>
      <c r="F20" s="11" t="n"/>
    </row>
    <row r="21" ht="14.25" customFormat="1" customHeight="1" s="2">
      <c r="D21" s="9" t="inlineStr">
        <is>
          <t>BİLANÇO</t>
        </is>
      </c>
      <c r="E21" s="10" t="n"/>
      <c r="F21" s="11" t="n"/>
    </row>
    <row r="22" ht="14.25" customFormat="1" customHeight="1" s="2">
      <c r="D22" s="9" t="inlineStr">
        <is>
          <t>BİLANÇO ANALİZİ</t>
        </is>
      </c>
      <c r="E22" s="10" t="n"/>
      <c r="F22" s="11" t="n"/>
      <c r="G22" s="1" t="n"/>
    </row>
    <row r="23" ht="14.25" customFormat="1" customHeight="1" s="2">
      <c r="D23" s="9" t="inlineStr">
        <is>
          <t>ORAN ANALİZİ</t>
        </is>
      </c>
      <c r="E23" s="10" t="n"/>
      <c r="F23" s="11" t="n"/>
    </row>
    <row r="24" ht="14.25" customFormat="1" customHeight="1" s="2">
      <c r="D24" s="9" t="inlineStr">
        <is>
          <t>EBİTDA</t>
        </is>
      </c>
      <c r="E24" s="10" t="n"/>
      <c r="F24" s="11" t="n"/>
    </row>
    <row r="25" ht="14.25" customFormat="1" customHeight="1" s="2">
      <c r="D25" s="9" t="inlineStr">
        <is>
          <t>BORCA BATIKLIK</t>
        </is>
      </c>
      <c r="E25" s="10" t="n"/>
      <c r="F25" s="11" t="n"/>
    </row>
    <row r="26" ht="14.25" customFormat="1" customHeight="1" s="2">
      <c r="D26" s="9" t="inlineStr">
        <is>
          <t>KİK ORANLARI</t>
        </is>
      </c>
      <c r="E26" s="10" t="n"/>
      <c r="F26" s="11" t="n"/>
    </row>
    <row r="30">
      <c r="D30" s="2" t="n"/>
      <c r="G30" s="1" t="inlineStr">
        <is>
          <t xml:space="preserve"> </t>
        </is>
      </c>
    </row>
    <row r="37">
      <c r="H37" s="1" t="inlineStr">
        <is>
          <t xml:space="preserve"> </t>
        </is>
      </c>
    </row>
  </sheetData>
  <mergeCells count="9">
    <mergeCell ref="C12:D12"/>
    <mergeCell ref="C10:D10"/>
    <mergeCell ref="F9:F10"/>
    <mergeCell ref="C11:D11"/>
    <mergeCell ref="F11:H12"/>
    <mergeCell ref="C16:F16"/>
    <mergeCell ref="C15:F15"/>
    <mergeCell ref="C9:D9"/>
    <mergeCell ref="C8:D8"/>
  </mergeCells>
  <hyperlinks>
    <hyperlink ref="D19" location="'GELİR TABLOSU'!A1" display="GELİR TABLOSU"/>
    <hyperlink ref="D20" location="'VERGİ HESABI'!A1" display="VERGİ HESABI"/>
    <hyperlink ref="D21" location="BİLANÇO!A1" display="BİLANÇO"/>
    <hyperlink ref="D22" location="'BİLANÇO ANALİZİ'!A1" display="BİLANÇO ANALİZİ"/>
    <hyperlink ref="D23" location="'ORAN ANALİZİ'!A1" display="ORAN ANALİZİ"/>
    <hyperlink ref="D24" location="EBİTDA!A1" display="EBİTDA"/>
    <hyperlink ref="D25" location="'BORCA BATIKLIK'!A1" display="BORCA BATIKLIK"/>
    <hyperlink ref="D26" location="'KİK ORANLARI'!A1" display="KİK ORANLARI"/>
  </hyperlinks>
  <pageMargins left="0.75" right="0.75" top="1.86" bottom="1" header="0.5" footer="0.5"/>
  <pageSetup orientation="portrait" paperSize="9"/>
  <drawing xmlns:r="http://schemas.openxmlformats.org/officeDocument/2006/relationships" r:id="rId1"/>
</worksheet>
</file>

<file path=xl/worksheets/sheet2.xml><?xml version="1.0" encoding="utf-8"?>
<worksheet xmlns="http://schemas.openxmlformats.org/spreadsheetml/2006/main">
  <sheetPr codeName="Sayfa2">
    <tabColor theme="0"/>
    <outlinePr summaryBelow="1" summaryRight="1"/>
    <pageSetUpPr fitToPage="1"/>
  </sheetPr>
  <dimension ref="A2:J95"/>
  <sheetViews>
    <sheetView showGridLines="0" zoomScale="90" zoomScaleNormal="90" workbookViewId="0">
      <pane ySplit="6" topLeftCell="A7" activePane="bottomLeft" state="frozen"/>
      <selection activeCell="D13" sqref="D13"/>
      <selection pane="bottomLeft" activeCell="E46" sqref="E46"/>
    </sheetView>
  </sheetViews>
  <sheetFormatPr baseColWidth="8" defaultColWidth="9.140625" defaultRowHeight="12.75"/>
  <cols>
    <col width="9" bestFit="1" customWidth="1" style="54" min="1" max="1"/>
    <col width="48.28515625" customWidth="1" style="1" min="2" max="2"/>
    <col width="19.28515625" customWidth="1" style="1" min="3" max="3"/>
    <col width="10.140625" bestFit="1" customWidth="1" style="55" min="4" max="4"/>
    <col width="19.42578125" customWidth="1" style="1" min="5" max="5"/>
    <col width="10.140625" bestFit="1" customWidth="1" style="55" min="6" max="7"/>
    <col width="3.28515625" customWidth="1" style="1" min="8" max="8"/>
    <col width="15.42578125" customWidth="1" style="1" min="9" max="9"/>
    <col width="10.140625" bestFit="1" customWidth="1" style="1" min="10" max="10"/>
    <col width="9.140625" customWidth="1" style="1" min="11" max="16384"/>
  </cols>
  <sheetData>
    <row r="2" ht="11.25" customFormat="1" customHeight="1" s="13" thickBot="1">
      <c r="A2" s="12" t="inlineStr">
        <is>
          <t>ANASAYFA</t>
        </is>
      </c>
      <c r="D2" s="14" t="n"/>
      <c r="F2" s="15" t="n"/>
      <c r="G2" s="15" t="inlineStr">
        <is>
          <t>SYF.1</t>
        </is>
      </c>
    </row>
    <row r="3" ht="13.5" customHeight="1" thickBot="1">
      <c r="A3" s="451">
        <f>'ANA SAYFA'!F11</f>
        <v/>
      </c>
      <c r="B3" s="452" t="n"/>
      <c r="C3" s="452" t="n"/>
      <c r="D3" s="452" t="n"/>
      <c r="E3" s="452" t="n"/>
      <c r="F3" s="452" t="n"/>
      <c r="G3" s="453" t="n"/>
    </row>
    <row r="4">
      <c r="A4" s="451" t="inlineStr">
        <is>
          <t>KARŞILAŞTIRMALI  AYRINTILI GELİR TABLOSU</t>
        </is>
      </c>
      <c r="B4" s="452" t="n"/>
      <c r="C4" s="452" t="n"/>
      <c r="D4" s="452" t="n"/>
      <c r="E4" s="452" t="n"/>
      <c r="F4" s="452" t="n"/>
      <c r="G4" s="453" t="n"/>
    </row>
    <row r="5" ht="13.5" customHeight="1" thickBot="1">
      <c r="A5" s="394" t="n"/>
      <c r="B5" s="398" t="n"/>
      <c r="C5" s="398" t="n"/>
      <c r="D5" s="16" t="n"/>
      <c r="E5" s="17" t="n"/>
      <c r="F5" s="16" t="n"/>
      <c r="G5" s="18" t="n"/>
    </row>
    <row r="6" ht="30" customFormat="1" customHeight="1" s="23">
      <c r="A6" s="19" t="inlineStr">
        <is>
          <t>H.Kodu</t>
        </is>
      </c>
      <c r="B6" s="20" t="n"/>
      <c r="C6" s="21" t="n">
        <v>45869</v>
      </c>
      <c r="D6" s="22" t="inlineStr">
        <is>
          <t>Dikey
%</t>
        </is>
      </c>
      <c r="E6" s="21" t="n">
        <v>46234</v>
      </c>
      <c r="F6" s="22" t="inlineStr">
        <is>
          <t>Dikey
%</t>
        </is>
      </c>
      <c r="G6" s="294" t="inlineStr">
        <is>
          <t>Yatay
%</t>
        </is>
      </c>
    </row>
    <row r="7" ht="14.25" customHeight="1">
      <c r="A7" s="24" t="n"/>
      <c r="B7" s="25" t="inlineStr">
        <is>
          <t xml:space="preserve">     A- BRÜT SATIŞLAR</t>
        </is>
      </c>
      <c r="C7" s="454">
        <f>SUM(C9:C11)</f>
        <v/>
      </c>
      <c r="D7" s="27">
        <f>C7/C19*100</f>
        <v/>
      </c>
      <c r="E7" s="454">
        <f>SUM(E9:E11)</f>
        <v/>
      </c>
      <c r="F7" s="27">
        <f>E7/E19*100</f>
        <v/>
      </c>
      <c r="G7" s="28">
        <f>(E7-C7)/C7</f>
        <v/>
      </c>
    </row>
    <row r="8">
      <c r="A8" s="29" t="n"/>
      <c r="B8" s="30" t="n"/>
      <c r="C8" s="455" t="n"/>
      <c r="D8" s="32" t="n"/>
      <c r="E8" s="455" t="n"/>
      <c r="F8" s="32" t="n"/>
      <c r="G8" s="303" t="n"/>
    </row>
    <row r="9">
      <c r="A9" s="29" t="n">
        <v>600</v>
      </c>
      <c r="B9" s="30" t="inlineStr">
        <is>
          <t xml:space="preserve">         1- Yurtiçi Satışlar</t>
        </is>
      </c>
      <c r="C9" s="326">
        <v>15522000.0</v>
      </c>
      <c r="D9" s="32" t="n"/>
      <c r="E9" s="326">
        <v>15492000.0</v>
      </c>
      <c r="F9" s="32" t="n"/>
      <c r="G9" s="28">
        <f>(E9-C9)/C9</f>
        <v/>
      </c>
    </row>
    <row r="10">
      <c r="A10" s="29" t="n">
        <v>601</v>
      </c>
      <c r="B10" s="30" t="inlineStr">
        <is>
          <t xml:space="preserve">         2- Yurtdışı Satışlar</t>
        </is>
      </c>
      <c r="C10" s="255">
        <v>1800000.0</v>
      </c>
      <c r="D10" s="32" t="n"/>
      <c r="E10" s="326">
        <v>1800000.0</v>
      </c>
      <c r="F10" s="32" t="n"/>
      <c r="G10" s="28">
        <f>(E10-C10)/C10</f>
        <v/>
      </c>
    </row>
    <row r="11">
      <c r="A11" s="29" t="n">
        <v>602</v>
      </c>
      <c r="B11" s="30" t="inlineStr">
        <is>
          <t xml:space="preserve">         3- Diğer Gelirler</t>
        </is>
      </c>
      <c r="C11" s="373"/>
      <c r="D11" s="32" t="n"/>
      <c r="E11" s="326"/>
      <c r="F11" s="32" t="n"/>
      <c r="G11" s="28" t="n"/>
    </row>
    <row r="12">
      <c r="A12" s="29" t="n"/>
      <c r="B12" s="30" t="n"/>
      <c r="C12" s="455"/>
      <c r="D12" s="32" t="n"/>
      <c r="E12" s="455"/>
      <c r="F12" s="32" t="n"/>
      <c r="G12" s="28" t="n"/>
    </row>
    <row r="13">
      <c r="A13" s="24" t="n"/>
      <c r="B13" s="25" t="inlineStr">
        <is>
          <t xml:space="preserve">     B- SATIŞ İNDİRİMLERİ (-)</t>
        </is>
      </c>
      <c r="C13" s="454">
        <f>SUM(C15:C17)</f>
        <v/>
      </c>
      <c r="D13" s="27">
        <f>C13/C19*100</f>
        <v/>
      </c>
      <c r="E13" s="454">
        <f>SUM(E15:E17)</f>
        <v/>
      </c>
      <c r="F13" s="27">
        <f>E13/E19*100</f>
        <v/>
      </c>
      <c r="G13" s="28">
        <f>(E13-C13)/C13</f>
        <v/>
      </c>
    </row>
    <row r="14">
      <c r="A14" s="29" t="n"/>
      <c r="B14" s="30" t="n"/>
      <c r="C14" s="455"/>
      <c r="D14" s="32" t="n"/>
      <c r="E14" s="455"/>
      <c r="F14" s="32" t="n"/>
      <c r="G14" s="28" t="n"/>
    </row>
    <row r="15">
      <c r="A15" s="29" t="n">
        <v>610</v>
      </c>
      <c r="B15" s="30" t="inlineStr">
        <is>
          <t xml:space="preserve">         1- Satıştan İadeler (-)</t>
        </is>
      </c>
      <c r="C15" s="326">
        <v>220000.0</v>
      </c>
      <c r="D15" s="32" t="n"/>
      <c r="E15" s="326">
        <v>220000.0</v>
      </c>
      <c r="F15" s="32" t="n"/>
      <c r="G15" s="28">
        <f>(E15-C15)/C15</f>
        <v/>
      </c>
    </row>
    <row r="16">
      <c r="A16" s="29" t="n">
        <v>611</v>
      </c>
      <c r="B16" s="30" t="inlineStr">
        <is>
          <t xml:space="preserve">         2- Satış İskontoları (-)</t>
        </is>
      </c>
      <c r="C16" s="456">
        <v>180000.0</v>
      </c>
      <c r="D16" s="32" t="n"/>
      <c r="E16" s="456">
        <v>180000.0</v>
      </c>
      <c r="F16" s="32" t="n"/>
      <c r="G16" s="28" t="n"/>
    </row>
    <row r="17">
      <c r="A17" s="29" t="n">
        <v>612</v>
      </c>
      <c r="B17" s="30" t="inlineStr">
        <is>
          <t xml:space="preserve">         3- Diğer İndirimler (-)</t>
        </is>
      </c>
      <c r="C17" s="455"/>
      <c r="D17" s="32" t="n"/>
      <c r="E17" s="455"/>
      <c r="F17" s="32" t="n"/>
      <c r="G17" s="28" t="n"/>
    </row>
    <row r="18">
      <c r="A18" s="29" t="n"/>
      <c r="B18" s="30" t="n"/>
      <c r="C18" s="455"/>
      <c r="D18" s="32" t="n"/>
      <c r="E18" s="455"/>
      <c r="F18" s="32" t="n"/>
      <c r="G18" s="28" t="n"/>
    </row>
    <row r="19">
      <c r="A19" s="34" t="n"/>
      <c r="B19" s="35" t="inlineStr">
        <is>
          <t xml:space="preserve">     C- NET SATIŞLAR</t>
        </is>
      </c>
      <c r="C19" s="457">
        <f>SUM(C7-C13)</f>
        <v/>
      </c>
      <c r="D19" s="37">
        <f>C19/C19*100</f>
        <v/>
      </c>
      <c r="E19" s="457">
        <f>SUM(E7-E13)</f>
        <v/>
      </c>
      <c r="F19" s="37">
        <f>E19/E19*100</f>
        <v/>
      </c>
      <c r="G19" s="28">
        <f>(E19-C19)/C19</f>
        <v/>
      </c>
      <c r="I19" s="458">
        <f>E19/12</f>
        <v/>
      </c>
    </row>
    <row r="20">
      <c r="A20" s="24" t="n"/>
      <c r="B20" s="25" t="inlineStr">
        <is>
          <t xml:space="preserve">     D- SATIŞLARIN MALİYETİ</t>
        </is>
      </c>
      <c r="C20" s="454">
        <f>SUM(C22:C25)</f>
        <v/>
      </c>
      <c r="D20" s="27">
        <f>C20/C19*100</f>
        <v/>
      </c>
      <c r="E20" s="454">
        <f>SUM(E22:E24)</f>
        <v/>
      </c>
      <c r="F20" s="27">
        <f>E20/E19*100</f>
        <v/>
      </c>
      <c r="G20" s="28">
        <f>(E20-C20)/C20</f>
        <v/>
      </c>
    </row>
    <row r="21">
      <c r="A21" s="29" t="n"/>
      <c r="B21" s="30" t="n"/>
      <c r="C21" s="455"/>
      <c r="D21" s="32" t="n"/>
      <c r="E21" s="455"/>
      <c r="F21" s="32" t="n"/>
      <c r="G21" s="28" t="n"/>
    </row>
    <row r="22">
      <c r="A22" s="29" t="n">
        <v>620</v>
      </c>
      <c r="B22" s="30" t="inlineStr">
        <is>
          <t xml:space="preserve">         1- Satılan Mamuller Maliyeti (-)</t>
        </is>
      </c>
      <c r="C22" s="326">
        <v>6050000.0</v>
      </c>
      <c r="D22" s="32" t="n"/>
      <c r="E22" s="326">
        <v>4450000.0</v>
      </c>
      <c r="F22" s="32" t="n"/>
      <c r="G22" s="28">
        <f>(E22-C22)/C22</f>
        <v/>
      </c>
    </row>
    <row r="23">
      <c r="A23" s="29" t="n">
        <v>621</v>
      </c>
      <c r="B23" s="30" t="inlineStr">
        <is>
          <t xml:space="preserve">         2- Satılan Ticari Malların Maliyeti (-)</t>
        </is>
      </c>
      <c r="C23" s="255">
        <v>7300000.0</v>
      </c>
      <c r="D23" s="32" t="n"/>
      <c r="E23" s="326"/>
      <c r="F23" s="32" t="n"/>
      <c r="G23" s="28" t="n"/>
    </row>
    <row r="24">
      <c r="A24" s="29" t="n">
        <v>622</v>
      </c>
      <c r="B24" s="30" t="inlineStr">
        <is>
          <t xml:space="preserve">         3- Satılan Hizmet Maliyeti (-)</t>
        </is>
      </c>
      <c r="C24" s="255"/>
      <c r="D24" s="32" t="n"/>
      <c r="E24" s="326"/>
      <c r="F24" s="32" t="n"/>
      <c r="G24" s="28" t="n"/>
    </row>
    <row r="25">
      <c r="A25" s="29" t="n">
        <v>623</v>
      </c>
      <c r="B25" s="30" t="inlineStr">
        <is>
          <t xml:space="preserve">         4- Diğer Satışların Maliyeti(-)</t>
        </is>
      </c>
      <c r="C25" s="255"/>
      <c r="D25" s="32" t="n"/>
      <c r="E25" s="326"/>
      <c r="F25" s="32" t="n"/>
      <c r="G25" s="28" t="n"/>
    </row>
    <row r="26">
      <c r="A26" s="29" t="n"/>
      <c r="B26" s="30" t="n"/>
      <c r="C26" s="455"/>
      <c r="D26" s="32" t="n"/>
      <c r="E26" s="455"/>
      <c r="F26" s="32" t="n"/>
      <c r="G26" s="28" t="n"/>
    </row>
    <row r="27" ht="21.75" customHeight="1">
      <c r="A27" s="38" t="n"/>
      <c r="B27" s="39" t="inlineStr">
        <is>
          <t xml:space="preserve"> BRÜT SATIŞ KARI VEYA ZARARI</t>
        </is>
      </c>
      <c r="C27" s="459">
        <f>SUM(C19-C20)</f>
        <v/>
      </c>
      <c r="D27" s="27">
        <f>C27/C19*100</f>
        <v/>
      </c>
      <c r="E27" s="459">
        <f>SUM(E19-E20)</f>
        <v/>
      </c>
      <c r="F27" s="27">
        <f>E27/E19*100</f>
        <v/>
      </c>
      <c r="G27" s="28">
        <f>(E27-C27)/C27</f>
        <v/>
      </c>
    </row>
    <row r="28" ht="10.5" customHeight="1">
      <c r="A28" s="41" t="n"/>
      <c r="B28" s="42" t="n"/>
      <c r="C28" s="460"/>
      <c r="D28" s="44" t="n"/>
      <c r="E28" s="460"/>
      <c r="F28" s="44" t="n"/>
      <c r="G28" s="28" t="n"/>
    </row>
    <row r="29">
      <c r="A29" s="24" t="n"/>
      <c r="B29" s="25" t="inlineStr">
        <is>
          <t xml:space="preserve">     E- FAALİYET GİDERLERİ (-)</t>
        </is>
      </c>
      <c r="C29" s="454">
        <f>SUM(C31:C33)</f>
        <v/>
      </c>
      <c r="D29" s="27">
        <f>C29/C19*100</f>
        <v/>
      </c>
      <c r="E29" s="454">
        <f>SUM(E31:E33)</f>
        <v/>
      </c>
      <c r="F29" s="27">
        <f>E29/E19*100</f>
        <v/>
      </c>
      <c r="G29" s="28">
        <f>(E29-C29)/C29</f>
        <v/>
      </c>
    </row>
    <row r="30">
      <c r="A30" s="29" t="n"/>
      <c r="B30" s="30" t="n"/>
      <c r="C30" s="455"/>
      <c r="D30" s="32" t="n"/>
      <c r="E30" s="455"/>
      <c r="F30" s="32" t="n"/>
      <c r="G30" s="28" t="n"/>
    </row>
    <row r="31">
      <c r="A31" s="29" t="n">
        <v>630</v>
      </c>
      <c r="B31" s="30" t="inlineStr">
        <is>
          <t xml:space="preserve">         1- Araştırma Geliştirme Giderleri (-)</t>
        </is>
      </c>
      <c r="C31" s="326"/>
      <c r="D31" s="267" t="n"/>
      <c r="E31" s="326">
        <v>320000.0</v>
      </c>
      <c r="F31" s="32" t="n"/>
      <c r="G31" s="28">
        <f>(E31-C31)/C31</f>
        <v/>
      </c>
    </row>
    <row r="32">
      <c r="A32" s="29" t="n">
        <v>631</v>
      </c>
      <c r="B32" s="30" t="inlineStr">
        <is>
          <t xml:space="preserve">         2- Pazarlama,Satış Dağıtım Giderleri (-)</t>
        </is>
      </c>
      <c r="C32" s="310">
        <v>850000.0</v>
      </c>
      <c r="D32" s="32" t="n"/>
      <c r="E32" s="310">
        <v>850000.0</v>
      </c>
      <c r="F32" s="32" t="n"/>
      <c r="G32" s="28">
        <f>(E32-C32)/C32</f>
        <v/>
      </c>
    </row>
    <row r="33">
      <c r="A33" s="29" t="n">
        <v>632</v>
      </c>
      <c r="B33" s="30" t="inlineStr">
        <is>
          <t xml:space="preserve">         3- Genel Yönetim Giderleri (-)</t>
        </is>
      </c>
      <c r="C33" s="310">
        <v>1450000.0</v>
      </c>
      <c r="D33" s="32" t="n"/>
      <c r="E33" s="326">
        <v>1450000.0</v>
      </c>
      <c r="F33" s="32" t="n"/>
      <c r="G33" s="28">
        <f>(E33-C33)/C33</f>
        <v/>
      </c>
    </row>
    <row r="34">
      <c r="A34" s="29" t="n"/>
      <c r="B34" s="30" t="n"/>
      <c r="C34" s="455"/>
      <c r="D34" s="32" t="n"/>
      <c r="E34" s="455"/>
      <c r="F34" s="32" t="n"/>
      <c r="G34" s="28" t="n"/>
    </row>
    <row r="35" ht="21.75" customHeight="1">
      <c r="A35" s="38" t="n"/>
      <c r="B35" s="39" t="inlineStr">
        <is>
          <t xml:space="preserve">  FAALİYET KARI VEYA ZARARI</t>
        </is>
      </c>
      <c r="C35" s="459">
        <f>SUM(C27-C29)</f>
        <v/>
      </c>
      <c r="D35" s="27">
        <f>C35/C19*100</f>
        <v/>
      </c>
      <c r="E35" s="459">
        <f>SUM(E27-E29)</f>
        <v/>
      </c>
      <c r="F35" s="27">
        <f>E35/E19*100</f>
        <v/>
      </c>
      <c r="G35" s="28">
        <f>(E35-C35)/C35</f>
        <v/>
      </c>
    </row>
    <row r="36" ht="12" customHeight="1">
      <c r="A36" s="29" t="n"/>
      <c r="B36" s="30" t="n"/>
      <c r="C36" s="454">
        <f>C39+C40+C41+C42+C43+C44+C45+C48+C49</f>
        <v/>
      </c>
      <c r="D36" s="32" t="n"/>
      <c r="E36" s="455"/>
      <c r="F36" s="32" t="n"/>
      <c r="G36" s="28" t="n"/>
    </row>
    <row r="37">
      <c r="A37" s="24" t="n"/>
      <c r="B37" s="25" t="inlineStr">
        <is>
          <t xml:space="preserve">     F- DİĞER FAALİYETLERDEN OLAĞAN GELİR VEYA KARLAR</t>
        </is>
      </c>
      <c r="C37" s="454"/>
      <c r="D37" s="27">
        <f>C36/C19*100</f>
        <v/>
      </c>
      <c r="E37" s="454">
        <f>E39+E40+E41+E42+E43+E44+E45+E48+E49</f>
        <v/>
      </c>
      <c r="F37" s="27">
        <f>E37/E19*100</f>
        <v/>
      </c>
      <c r="G37" s="28">
        <f>(E37-C36)/C36</f>
        <v/>
      </c>
    </row>
    <row r="38">
      <c r="A38" s="29" t="n"/>
      <c r="B38" s="30" t="n"/>
      <c r="C38" s="455"/>
      <c r="D38" s="32" t="n"/>
      <c r="E38" s="455"/>
      <c r="F38" s="32" t="n"/>
      <c r="G38" s="28" t="n"/>
    </row>
    <row r="39">
      <c r="A39" s="29" t="n">
        <v>640</v>
      </c>
      <c r="B39" s="30" t="inlineStr">
        <is>
          <t xml:space="preserve">         1- İştiraklerden Temettü Gelirleri</t>
        </is>
      </c>
      <c r="C39" s="455"/>
      <c r="D39" s="32" t="n"/>
      <c r="E39" s="455"/>
      <c r="F39" s="32" t="n"/>
      <c r="G39" s="28" t="n"/>
    </row>
    <row r="40">
      <c r="A40" s="29" t="n">
        <v>641</v>
      </c>
      <c r="B40" s="30" t="inlineStr">
        <is>
          <t xml:space="preserve">         2- Bağlı Ortaklıklardan Temettü Gelirleir</t>
        </is>
      </c>
      <c r="C40" s="455"/>
      <c r="D40" s="32" t="n"/>
      <c r="E40" s="455"/>
      <c r="F40" s="32" t="n"/>
      <c r="G40" s="28" t="n"/>
    </row>
    <row r="41">
      <c r="A41" s="29" t="n">
        <v>642</v>
      </c>
      <c r="B41" s="30" t="inlineStr">
        <is>
          <t xml:space="preserve">         3- Faiz Gelirleri</t>
        </is>
      </c>
      <c r="C41" s="326">
        <v>95000.0</v>
      </c>
      <c r="D41" s="32" t="n"/>
      <c r="E41" s="326">
        <v>95000.0</v>
      </c>
      <c r="F41" s="32" t="n"/>
      <c r="G41" s="28">
        <f>(E41-C41)/C41</f>
        <v/>
      </c>
    </row>
    <row r="42">
      <c r="A42" s="29" t="n">
        <v>643</v>
      </c>
      <c r="B42" s="30" t="inlineStr">
        <is>
          <t xml:space="preserve">         4- Komisyon Gelirleri</t>
        </is>
      </c>
      <c r="C42" s="255"/>
      <c r="D42" s="32" t="n"/>
      <c r="E42" s="255"/>
      <c r="F42" s="32" t="n"/>
      <c r="G42" s="28" t="n"/>
    </row>
    <row r="43">
      <c r="A43" s="29" t="n">
        <v>644</v>
      </c>
      <c r="B43" s="30" t="inlineStr">
        <is>
          <t xml:space="preserve">         5- Konusu Kalmayan Karşılıklar</t>
        </is>
      </c>
      <c r="C43" s="255"/>
      <c r="D43" s="32" t="n"/>
      <c r="E43" s="255"/>
      <c r="F43" s="32" t="n"/>
      <c r="G43" s="28" t="n"/>
    </row>
    <row r="44">
      <c r="A44" s="29" t="n">
        <v>645</v>
      </c>
      <c r="B44" s="30" t="inlineStr">
        <is>
          <t xml:space="preserve">         6- Menkul Kıymet Satış Karları</t>
        </is>
      </c>
      <c r="C44" s="255"/>
      <c r="D44" s="32" t="n"/>
      <c r="E44" s="255"/>
      <c r="F44" s="32" t="n"/>
      <c r="G44" s="28" t="n"/>
    </row>
    <row r="45">
      <c r="A45" s="29" t="n">
        <v>646</v>
      </c>
      <c r="B45" s="30" t="inlineStr">
        <is>
          <t xml:space="preserve">         7- Kambiyo Karları</t>
        </is>
      </c>
      <c r="C45" s="255">
        <v>240000.0</v>
      </c>
      <c r="D45" s="32" t="n"/>
      <c r="E45" s="255">
        <v>240000.0</v>
      </c>
      <c r="F45" s="32" t="n"/>
      <c r="G45" s="28">
        <f>(E45-C45)/C45</f>
        <v/>
      </c>
    </row>
    <row r="46">
      <c r="A46" s="29" t="n"/>
      <c r="B46" s="352" t="inlineStr">
        <is>
          <t xml:space="preserve">                 7-a- Yabancı Kaynaklara Ait Kambiyo Karları</t>
        </is>
      </c>
      <c r="C46" s="351"/>
      <c r="D46" s="32" t="n"/>
      <c r="E46" s="351"/>
      <c r="F46" s="32" t="n"/>
      <c r="G46" s="28" t="n"/>
      <c r="J46" s="105" t="n"/>
    </row>
    <row r="47">
      <c r="A47" s="29" t="n"/>
      <c r="B47" s="353" t="inlineStr">
        <is>
          <t xml:space="preserve">                 7-b- Diğer Kambiyo Karları</t>
        </is>
      </c>
      <c r="C47" s="351"/>
      <c r="D47" s="32" t="n"/>
      <c r="E47" s="351"/>
      <c r="F47" s="32" t="n"/>
      <c r="G47" s="28" t="n"/>
    </row>
    <row r="48">
      <c r="A48" s="29" t="n">
        <v>647</v>
      </c>
      <c r="B48" s="30" t="inlineStr">
        <is>
          <t xml:space="preserve">         8- Reeskont Faiz Gelirleri</t>
        </is>
      </c>
      <c r="C48" s="255"/>
      <c r="D48" s="32" t="n"/>
      <c r="E48" s="255"/>
      <c r="F48" s="32" t="n"/>
      <c r="G48" s="28" t="n"/>
    </row>
    <row r="49">
      <c r="A49" s="29" t="n">
        <v>649</v>
      </c>
      <c r="B49" s="30" t="inlineStr">
        <is>
          <t xml:space="preserve">         9- Diğer Olağan Gelir ve Karlar</t>
        </is>
      </c>
      <c r="C49" s="255"/>
      <c r="D49" s="32" t="n"/>
      <c r="E49" s="255"/>
      <c r="F49" s="32" t="n"/>
      <c r="G49" s="28" t="n"/>
    </row>
    <row r="50">
      <c r="A50" s="29" t="n"/>
      <c r="B50" s="30" t="n"/>
      <c r="C50" s="455"/>
      <c r="D50" s="32" t="n"/>
      <c r="E50" s="455"/>
      <c r="F50" s="32" t="n"/>
      <c r="G50" s="28" t="n"/>
    </row>
    <row r="51">
      <c r="A51" s="24" t="n"/>
      <c r="B51" s="25" t="inlineStr">
        <is>
          <t xml:space="preserve">     G- DİĞER FAALİYETLERDEN GİDER VE ZARARLAR (-)</t>
        </is>
      </c>
      <c r="C51" s="454">
        <f>C53+C54+C55+C56+C59+C60</f>
        <v/>
      </c>
      <c r="D51" s="27">
        <f>C51/C19*100</f>
        <v/>
      </c>
      <c r="E51" s="454">
        <f>E53+E54+E56+E59+E60</f>
        <v/>
      </c>
      <c r="F51" s="27">
        <f>E51/E19*100</f>
        <v/>
      </c>
      <c r="G51" s="28">
        <f>(E51-C51)/C51</f>
        <v/>
      </c>
    </row>
    <row r="52">
      <c r="A52" s="29" t="n"/>
      <c r="B52" s="30" t="n"/>
      <c r="C52" s="455"/>
      <c r="D52" s="32" t="n"/>
      <c r="E52" s="455"/>
      <c r="F52" s="32" t="n"/>
      <c r="G52" s="28" t="n"/>
    </row>
    <row r="53">
      <c r="A53" s="29" t="n">
        <v>653</v>
      </c>
      <c r="B53" s="30" t="inlineStr">
        <is>
          <t xml:space="preserve">         1- Komisyon Giderleri</t>
        </is>
      </c>
      <c r="C53" s="455">
        <v>60000.0</v>
      </c>
      <c r="D53" s="32" t="n"/>
      <c r="E53" s="455">
        <v>60000.0</v>
      </c>
      <c r="F53" s="32" t="n"/>
      <c r="G53" s="28" t="n"/>
    </row>
    <row r="54">
      <c r="A54" s="29" t="n">
        <v>654</v>
      </c>
      <c r="B54" s="30" t="inlineStr">
        <is>
          <t xml:space="preserve">         2- Karşılık Giderleri</t>
        </is>
      </c>
      <c r="C54" s="455"/>
      <c r="D54" s="32" t="n"/>
      <c r="E54" s="255"/>
      <c r="F54" s="32" t="n"/>
      <c r="G54" s="28" t="n"/>
    </row>
    <row r="55">
      <c r="A55" s="29" t="n">
        <v>655</v>
      </c>
      <c r="B55" s="30" t="inlineStr">
        <is>
          <t xml:space="preserve">         3- Menkul Kıymet Satış Zararları</t>
        </is>
      </c>
      <c r="C55" s="326"/>
      <c r="D55" s="32" t="n"/>
      <c r="E55" s="255"/>
      <c r="F55" s="32" t="n"/>
      <c r="G55" s="28" t="n"/>
    </row>
    <row r="56">
      <c r="A56" s="29" t="n">
        <v>656</v>
      </c>
      <c r="B56" s="30" t="inlineStr">
        <is>
          <t xml:space="preserve">         4- Kambiyo Zararları</t>
        </is>
      </c>
      <c r="C56" s="255">
        <v>180000.0</v>
      </c>
      <c r="D56" s="32" t="n"/>
      <c r="E56" s="255">
        <v>180000.0</v>
      </c>
      <c r="F56" s="32" t="n"/>
      <c r="G56" s="28">
        <f>(E56-C56)/C56</f>
        <v/>
      </c>
    </row>
    <row r="57">
      <c r="A57" s="29" t="n"/>
      <c r="B57" s="352" t="inlineStr">
        <is>
          <t xml:space="preserve">                 4-a- Yabancı Kaynaklara Ait Kambiyo Zararları</t>
        </is>
      </c>
      <c r="C57" s="351"/>
      <c r="D57" s="32" t="n"/>
      <c r="E57" s="351"/>
      <c r="F57" s="32" t="n"/>
      <c r="G57" s="28" t="n"/>
      <c r="J57" s="105" t="n"/>
    </row>
    <row r="58">
      <c r="A58" s="29" t="n"/>
      <c r="B58" s="353" t="inlineStr">
        <is>
          <t xml:space="preserve">                 4-b- Diğer Kambiyo Zararları</t>
        </is>
      </c>
      <c r="C58" s="351"/>
      <c r="D58" s="32" t="n"/>
      <c r="E58" s="351"/>
      <c r="F58" s="32" t="n"/>
      <c r="G58" s="28" t="n"/>
    </row>
    <row r="59">
      <c r="A59" s="29" t="n">
        <v>657</v>
      </c>
      <c r="B59" s="30" t="inlineStr">
        <is>
          <t xml:space="preserve">         5- Reeskont Faiz Giderleri</t>
        </is>
      </c>
      <c r="C59" s="255"/>
      <c r="D59" s="32" t="n"/>
      <c r="E59" s="255"/>
      <c r="F59" s="32" t="n"/>
      <c r="G59" s="28" t="n"/>
    </row>
    <row r="60">
      <c r="A60" s="29" t="n">
        <v>659</v>
      </c>
      <c r="B60" s="30" t="inlineStr">
        <is>
          <t xml:space="preserve">         6- Diğer Olağan Gider ve Zararlar</t>
        </is>
      </c>
      <c r="C60" s="255"/>
      <c r="D60" s="45" t="n"/>
      <c r="E60" s="255"/>
      <c r="F60" s="32" t="n"/>
      <c r="G60" s="28" t="n"/>
    </row>
    <row r="61">
      <c r="A61" s="29" t="n"/>
      <c r="B61" s="30" t="n"/>
      <c r="C61" s="455"/>
      <c r="D61" s="32" t="n"/>
      <c r="E61" s="455"/>
      <c r="F61" s="32" t="n"/>
      <c r="G61" s="28" t="n"/>
    </row>
    <row r="62">
      <c r="A62" s="24" t="n"/>
      <c r="B62" s="25" t="inlineStr">
        <is>
          <t xml:space="preserve">     H- FİNANSMAN GİDERLERİ (-)</t>
        </is>
      </c>
      <c r="C62" s="454">
        <f>SUM(C64:C65)</f>
        <v/>
      </c>
      <c r="D62" s="27">
        <f>C62/C19*100</f>
        <v/>
      </c>
      <c r="E62" s="454">
        <f>SUM(E64:E65)</f>
        <v/>
      </c>
      <c r="F62" s="27">
        <f>E62/E19*100</f>
        <v/>
      </c>
      <c r="G62" s="28">
        <f>(E62-C62)/C62</f>
        <v/>
      </c>
    </row>
    <row r="63">
      <c r="A63" s="29" t="n"/>
      <c r="B63" s="30" t="n"/>
      <c r="C63" s="455"/>
      <c r="D63" s="32" t="n"/>
      <c r="E63" s="455"/>
      <c r="F63" s="32" t="n"/>
      <c r="G63" s="28" t="n"/>
    </row>
    <row r="64">
      <c r="A64" s="29" t="n">
        <v>660</v>
      </c>
      <c r="B64" s="30" t="inlineStr">
        <is>
          <t xml:space="preserve">         1- Kısa Vadeli Borçlanma Giderleri (-)</t>
        </is>
      </c>
      <c r="C64" s="255">
        <v>420000.0</v>
      </c>
      <c r="D64" s="32" t="n"/>
      <c r="E64" s="255">
        <v>420000.0</v>
      </c>
      <c r="F64" s="32" t="n"/>
      <c r="G64" s="28">
        <f>(E64-C64)/C64</f>
        <v/>
      </c>
    </row>
    <row r="65">
      <c r="A65" s="29" t="n">
        <v>661</v>
      </c>
      <c r="B65" s="30" t="inlineStr">
        <is>
          <t xml:space="preserve">         2- Uzun Vadeli Borçlanma Giderleri (-)</t>
        </is>
      </c>
      <c r="C65" s="255"/>
      <c r="D65" s="32" t="n"/>
      <c r="E65" s="255"/>
      <c r="F65" s="32" t="n"/>
      <c r="G65" s="28">
        <f>(E65-C65)/C65</f>
        <v/>
      </c>
    </row>
    <row r="66">
      <c r="A66" s="29" t="n"/>
      <c r="B66" s="30" t="n"/>
      <c r="C66" s="455"/>
      <c r="D66" s="32" t="n"/>
      <c r="E66" s="455"/>
      <c r="F66" s="32" t="n"/>
      <c r="G66" s="28" t="n"/>
    </row>
    <row r="67" ht="21.75" customHeight="1">
      <c r="A67" s="38" t="n"/>
      <c r="B67" s="39" t="inlineStr">
        <is>
          <t xml:space="preserve">  OLAĞAN KAR VEYA ZARAR</t>
        </is>
      </c>
      <c r="C67" s="459">
        <f>SUM(C35+C36-C51-C62)</f>
        <v/>
      </c>
      <c r="D67" s="27">
        <f>C67/C19*100</f>
        <v/>
      </c>
      <c r="E67" s="459">
        <f>SUM(E35+E37-E51-E62)</f>
        <v/>
      </c>
      <c r="F67" s="27">
        <f>E67/E19*100</f>
        <v/>
      </c>
      <c r="G67" s="28">
        <f>(E67-C67)/C67</f>
        <v/>
      </c>
    </row>
    <row r="68" ht="10.15" customHeight="1">
      <c r="A68" s="29" t="n"/>
      <c r="B68" s="30" t="n"/>
      <c r="C68" s="455"/>
      <c r="D68" s="32" t="n"/>
      <c r="E68" s="455"/>
      <c r="F68" s="32" t="n"/>
      <c r="G68" s="28" t="n"/>
    </row>
    <row r="69">
      <c r="A69" s="24" t="n"/>
      <c r="B69" s="25" t="inlineStr">
        <is>
          <t xml:space="preserve">     I- OLAĞANDIŞI GELİR VE KARLAR</t>
        </is>
      </c>
      <c r="C69" s="454">
        <f>SUM(C71:C72)</f>
        <v/>
      </c>
      <c r="D69" s="377">
        <f>C69/C19*100</f>
        <v/>
      </c>
      <c r="E69" s="454">
        <f>SUM(E71:E72)</f>
        <v/>
      </c>
      <c r="F69" s="378">
        <f>E69/E19*100</f>
        <v/>
      </c>
      <c r="G69" s="28">
        <f>(E69-C69)/C69</f>
        <v/>
      </c>
    </row>
    <row r="70">
      <c r="A70" s="29" t="n"/>
      <c r="B70" s="30" t="n"/>
      <c r="C70" s="455"/>
      <c r="D70" s="375" t="n"/>
      <c r="E70" s="455"/>
      <c r="F70" s="376" t="n"/>
      <c r="G70" s="28" t="n"/>
    </row>
    <row r="71">
      <c r="A71" s="29" t="n">
        <v>671</v>
      </c>
      <c r="B71" s="30" t="inlineStr">
        <is>
          <t xml:space="preserve">         1- Önceki Dönem Gelir ve Karları</t>
        </is>
      </c>
      <c r="C71" s="255"/>
      <c r="D71" s="375" t="n"/>
      <c r="E71" s="379"/>
      <c r="F71" s="376" t="n"/>
      <c r="G71" s="28" t="n"/>
    </row>
    <row r="72">
      <c r="A72" s="29" t="n">
        <v>679</v>
      </c>
      <c r="B72" s="30" t="inlineStr">
        <is>
          <t xml:space="preserve">         2- Diğer Olağandışı Gelir ve Karlar</t>
        </is>
      </c>
      <c r="C72" s="326">
        <v>70000.0</v>
      </c>
      <c r="D72" s="375" t="n"/>
      <c r="E72" s="380">
        <v>70000.0</v>
      </c>
      <c r="F72" s="376" t="n"/>
      <c r="G72" s="28">
        <f>(E72-C72)/C72</f>
        <v/>
      </c>
    </row>
    <row r="73">
      <c r="A73" s="29" t="n"/>
      <c r="B73" s="30" t="n"/>
      <c r="C73" s="455"/>
      <c r="D73" s="375" t="n"/>
      <c r="E73" s="455"/>
      <c r="F73" s="376" t="n"/>
      <c r="G73" s="28" t="n"/>
    </row>
    <row r="74">
      <c r="A74" s="24" t="n"/>
      <c r="B74" s="25" t="inlineStr">
        <is>
          <t xml:space="preserve">     J- OLAĞANDIŞI GİDER VE ZARARLAR (-)</t>
        </is>
      </c>
      <c r="C74" s="454">
        <f>SUM(C76:C78)</f>
        <v/>
      </c>
      <c r="D74" s="377">
        <f>C74/C19*100</f>
        <v/>
      </c>
      <c r="E74" s="454">
        <f>SUM(E76:E78)</f>
        <v/>
      </c>
      <c r="F74" s="378">
        <f>E74/E19*100</f>
        <v/>
      </c>
      <c r="G74" s="28" t="n"/>
    </row>
    <row r="75">
      <c r="A75" s="29" t="n"/>
      <c r="B75" s="30" t="n"/>
      <c r="C75" s="455"/>
      <c r="D75" s="375" t="n"/>
      <c r="E75" s="455"/>
      <c r="F75" s="376" t="n"/>
      <c r="G75" s="28" t="n"/>
    </row>
    <row r="76">
      <c r="A76" s="29" t="n">
        <v>680</v>
      </c>
      <c r="B76" s="30" t="inlineStr">
        <is>
          <t xml:space="preserve">         1- Çalışmayan Kısım Gider Ve Zararları (-)</t>
        </is>
      </c>
      <c r="C76" s="455"/>
      <c r="D76" s="375" t="n"/>
      <c r="E76" s="455"/>
      <c r="F76" s="376" t="n"/>
      <c r="G76" s="28" t="n"/>
    </row>
    <row r="77">
      <c r="A77" s="29" t="n">
        <v>681</v>
      </c>
      <c r="B77" s="30" t="inlineStr">
        <is>
          <t xml:space="preserve">         2- Önceki Dönem Gider ve Zararları (-)</t>
        </is>
      </c>
      <c r="C77" s="455"/>
      <c r="D77" s="375" t="n"/>
      <c r="E77" s="455"/>
      <c r="F77" s="376" t="n"/>
      <c r="G77" s="28" t="n"/>
    </row>
    <row r="78" ht="14.25" customHeight="1">
      <c r="A78" s="29" t="n">
        <v>689</v>
      </c>
      <c r="B78" s="30" t="inlineStr">
        <is>
          <t xml:space="preserve">         3- Diğer Olağandışı Gider Ve Zararları (-)</t>
        </is>
      </c>
      <c r="C78" s="326">
        <v>35000.0</v>
      </c>
      <c r="D78" s="375" t="n"/>
      <c r="E78" s="381">
        <v>35000.0</v>
      </c>
      <c r="F78" s="376" t="n"/>
      <c r="G78" s="28" t="n"/>
    </row>
    <row r="79">
      <c r="A79" s="29" t="n"/>
      <c r="B79" s="30" t="n"/>
      <c r="C79" s="455" t="n"/>
      <c r="D79" s="375" t="n"/>
      <c r="E79" s="461" t="n"/>
      <c r="F79" s="376" t="n"/>
      <c r="G79" s="28" t="n"/>
    </row>
    <row r="80" ht="21.75" customHeight="1">
      <c r="A80" s="38" t="n"/>
      <c r="B80" s="39" t="inlineStr">
        <is>
          <t xml:space="preserve">  DÖNEM KARI VEYA ZARARI</t>
        </is>
      </c>
      <c r="C80" s="459">
        <f>C67+C69-C74</f>
        <v/>
      </c>
      <c r="D80" s="27">
        <f>C80/C19*100</f>
        <v/>
      </c>
      <c r="E80" s="459">
        <f>E67+E69-E74</f>
        <v/>
      </c>
      <c r="F80" s="27">
        <f>E80/E19*100</f>
        <v/>
      </c>
      <c r="G80" s="28">
        <f>(E80-C80)/C80</f>
        <v/>
      </c>
    </row>
    <row r="81">
      <c r="A81" s="29" t="n"/>
      <c r="B81" s="30" t="n"/>
      <c r="C81" s="455" t="n"/>
      <c r="D81" s="32" t="n"/>
      <c r="E81" s="455" t="n"/>
      <c r="F81" s="32" t="n"/>
      <c r="G81" s="28" t="n"/>
    </row>
    <row r="82">
      <c r="A82" s="34" t="n"/>
      <c r="B82" s="35" t="inlineStr">
        <is>
          <t xml:space="preserve">     K- Dönem Karı ve Diğer Yasal</t>
        </is>
      </c>
      <c r="C82" s="457" t="n"/>
      <c r="D82" s="37" t="n"/>
      <c r="E82" s="457" t="n"/>
      <c r="F82" s="37" t="n"/>
      <c r="G82" s="28" t="n"/>
    </row>
    <row r="83">
      <c r="A83" s="46" t="n"/>
      <c r="B83" s="47" t="inlineStr">
        <is>
          <t xml:space="preserve">         Yükümlülük Karşılığı (-)</t>
        </is>
      </c>
      <c r="C83" s="457" t="n">
        <v>8952104.960000001</v>
      </c>
      <c r="D83" s="49" t="n"/>
      <c r="E83" s="462" t="n">
        <v>0</v>
      </c>
      <c r="F83" s="49" t="n"/>
      <c r="G83" s="28">
        <f>(E83-C83)/C83</f>
        <v/>
      </c>
    </row>
    <row r="84" ht="10.5" customHeight="1">
      <c r="A84" s="29" t="n"/>
      <c r="B84" s="30" t="n"/>
      <c r="C84" s="455" t="n"/>
      <c r="D84" s="32" t="n"/>
      <c r="E84" s="455" t="n"/>
      <c r="F84" s="32" t="n"/>
      <c r="G84" s="28" t="n"/>
    </row>
    <row r="85" ht="35.25" customHeight="1" thickBot="1">
      <c r="A85" s="50" t="n"/>
      <c r="B85" s="51" t="inlineStr">
        <is>
          <t xml:space="preserve">  DÖNEM NET KARI VEYA ZARARI</t>
        </is>
      </c>
      <c r="C85" s="463">
        <f>SUM(C80-C83)</f>
        <v/>
      </c>
      <c r="D85" s="53">
        <f>C85/C19*100</f>
        <v/>
      </c>
      <c r="E85" s="463">
        <f>SUM(E80-E83)</f>
        <v/>
      </c>
      <c r="F85" s="53">
        <f>E85/E19*100</f>
        <v/>
      </c>
      <c r="G85" s="327">
        <f>(E85-C85)/C85</f>
        <v/>
      </c>
    </row>
    <row r="95">
      <c r="E95" s="1" t="inlineStr">
        <is>
          <t xml:space="preserve"> </t>
        </is>
      </c>
    </row>
  </sheetData>
  <mergeCells count="2">
    <mergeCell ref="A3:G3"/>
    <mergeCell ref="A4:G4"/>
  </mergeCells>
  <hyperlinks>
    <hyperlink ref="A2" location="'ANA SAYFA'!A1" display="ANASAYFA"/>
  </hyperlinks>
  <printOptions horizontalCentered="1" verticalCentered="1"/>
  <pageMargins left="0" right="0" top="0.1574803149606299" bottom="0.1574803149606299" header="0.1968503937007874" footer="0.1968503937007874"/>
  <pageSetup orientation="portrait" paperSize="9" scale="76"/>
</worksheet>
</file>

<file path=xl/worksheets/sheet3.xml><?xml version="1.0" encoding="utf-8"?>
<worksheet xmlns="http://schemas.openxmlformats.org/spreadsheetml/2006/main">
  <sheetPr>
    <tabColor theme="0"/>
    <outlinePr summaryBelow="1" summaryRight="1"/>
    <pageSetUpPr/>
  </sheetPr>
  <dimension ref="A1:I60"/>
  <sheetViews>
    <sheetView showGridLines="0" zoomScaleNormal="100" workbookViewId="0">
      <pane ySplit="3" topLeftCell="A4" activePane="bottomLeft" state="frozen"/>
      <selection activeCell="E22" sqref="E22"/>
      <selection pane="bottomLeft" activeCell="C21" sqref="C21"/>
    </sheetView>
  </sheetViews>
  <sheetFormatPr baseColWidth="8" defaultColWidth="8.7109375" defaultRowHeight="12.75"/>
  <cols>
    <col width="3" customWidth="1" style="1" min="1" max="1"/>
    <col width="75.140625" bestFit="1" customWidth="1" style="1" min="2" max="2"/>
    <col width="18" customWidth="1" style="1" min="3" max="3"/>
    <col width="16.7109375" customWidth="1" style="1" min="4" max="4"/>
    <col width="19.42578125" customWidth="1" style="1" min="5" max="5"/>
    <col width="23.7109375" bestFit="1" customWidth="1" style="1" min="6" max="6"/>
    <col width="9.140625" customWidth="1" style="1" min="7" max="8"/>
    <col width="10.140625" bestFit="1" customWidth="1" style="1" min="9" max="9"/>
    <col width="9.140625" customWidth="1" style="1" min="10" max="257"/>
    <col width="3" customWidth="1" style="1" min="258" max="258"/>
    <col width="60.7109375" bestFit="1" customWidth="1" style="1" min="259" max="259"/>
    <col width="13.7109375" customWidth="1" style="1" min="260" max="260"/>
    <col width="13" customWidth="1" style="1" min="261" max="261"/>
    <col width="9.140625" customWidth="1" style="1" min="262" max="513"/>
    <col width="3" customWidth="1" style="1" min="514" max="514"/>
    <col width="60.7109375" bestFit="1" customWidth="1" style="1" min="515" max="515"/>
    <col width="13.7109375" customWidth="1" style="1" min="516" max="516"/>
    <col width="13" customWidth="1" style="1" min="517" max="517"/>
    <col width="9.140625" customWidth="1" style="1" min="518" max="769"/>
    <col width="3" customWidth="1" style="1" min="770" max="770"/>
    <col width="60.7109375" bestFit="1" customWidth="1" style="1" min="771" max="771"/>
    <col width="13.7109375" customWidth="1" style="1" min="772" max="772"/>
    <col width="13" customWidth="1" style="1" min="773" max="773"/>
    <col width="9.140625" customWidth="1" style="1" min="774" max="1025"/>
    <col width="3" customWidth="1" style="1" min="1026" max="1026"/>
    <col width="60.7109375" bestFit="1" customWidth="1" style="1" min="1027" max="1027"/>
    <col width="13.7109375" customWidth="1" style="1" min="1028" max="1028"/>
    <col width="13" customWidth="1" style="1" min="1029" max="1029"/>
    <col width="9.140625" customWidth="1" style="1" min="1030" max="1281"/>
    <col width="3" customWidth="1" style="1" min="1282" max="1282"/>
    <col width="60.7109375" bestFit="1" customWidth="1" style="1" min="1283" max="1283"/>
    <col width="13.7109375" customWidth="1" style="1" min="1284" max="1284"/>
    <col width="13" customWidth="1" style="1" min="1285" max="1285"/>
    <col width="9.140625" customWidth="1" style="1" min="1286" max="1537"/>
    <col width="3" customWidth="1" style="1" min="1538" max="1538"/>
    <col width="60.7109375" bestFit="1" customWidth="1" style="1" min="1539" max="1539"/>
    <col width="13.7109375" customWidth="1" style="1" min="1540" max="1540"/>
    <col width="13" customWidth="1" style="1" min="1541" max="1541"/>
    <col width="9.140625" customWidth="1" style="1" min="1542" max="1793"/>
    <col width="3" customWidth="1" style="1" min="1794" max="1794"/>
    <col width="60.7109375" bestFit="1" customWidth="1" style="1" min="1795" max="1795"/>
    <col width="13.7109375" customWidth="1" style="1" min="1796" max="1796"/>
    <col width="13" customWidth="1" style="1" min="1797" max="1797"/>
    <col width="9.140625" customWidth="1" style="1" min="1798" max="2049"/>
    <col width="3" customWidth="1" style="1" min="2050" max="2050"/>
    <col width="60.7109375" bestFit="1" customWidth="1" style="1" min="2051" max="2051"/>
    <col width="13.7109375" customWidth="1" style="1" min="2052" max="2052"/>
    <col width="13" customWidth="1" style="1" min="2053" max="2053"/>
    <col width="9.140625" customWidth="1" style="1" min="2054" max="2305"/>
    <col width="3" customWidth="1" style="1" min="2306" max="2306"/>
    <col width="60.7109375" bestFit="1" customWidth="1" style="1" min="2307" max="2307"/>
    <col width="13.7109375" customWidth="1" style="1" min="2308" max="2308"/>
    <col width="13" customWidth="1" style="1" min="2309" max="2309"/>
    <col width="9.140625" customWidth="1" style="1" min="2310" max="2561"/>
    <col width="3" customWidth="1" style="1" min="2562" max="2562"/>
    <col width="60.7109375" bestFit="1" customWidth="1" style="1" min="2563" max="2563"/>
    <col width="13.7109375" customWidth="1" style="1" min="2564" max="2564"/>
    <col width="13" customWidth="1" style="1" min="2565" max="2565"/>
    <col width="9.140625" customWidth="1" style="1" min="2566" max="2817"/>
    <col width="3" customWidth="1" style="1" min="2818" max="2818"/>
    <col width="60.7109375" bestFit="1" customWidth="1" style="1" min="2819" max="2819"/>
    <col width="13.7109375" customWidth="1" style="1" min="2820" max="2820"/>
    <col width="13" customWidth="1" style="1" min="2821" max="2821"/>
    <col width="9.140625" customWidth="1" style="1" min="2822" max="3073"/>
    <col width="3" customWidth="1" style="1" min="3074" max="3074"/>
    <col width="60.7109375" bestFit="1" customWidth="1" style="1" min="3075" max="3075"/>
    <col width="13.7109375" customWidth="1" style="1" min="3076" max="3076"/>
    <col width="13" customWidth="1" style="1" min="3077" max="3077"/>
    <col width="9.140625" customWidth="1" style="1" min="3078" max="3329"/>
    <col width="3" customWidth="1" style="1" min="3330" max="3330"/>
    <col width="60.7109375" bestFit="1" customWidth="1" style="1" min="3331" max="3331"/>
    <col width="13.7109375" customWidth="1" style="1" min="3332" max="3332"/>
    <col width="13" customWidth="1" style="1" min="3333" max="3333"/>
    <col width="9.140625" customWidth="1" style="1" min="3334" max="3585"/>
    <col width="3" customWidth="1" style="1" min="3586" max="3586"/>
    <col width="60.7109375" bestFit="1" customWidth="1" style="1" min="3587" max="3587"/>
    <col width="13.7109375" customWidth="1" style="1" min="3588" max="3588"/>
    <col width="13" customWidth="1" style="1" min="3589" max="3589"/>
    <col width="9.140625" customWidth="1" style="1" min="3590" max="3841"/>
    <col width="3" customWidth="1" style="1" min="3842" max="3842"/>
    <col width="60.7109375" bestFit="1" customWidth="1" style="1" min="3843" max="3843"/>
    <col width="13.7109375" customWidth="1" style="1" min="3844" max="3844"/>
    <col width="13" customWidth="1" style="1" min="3845" max="3845"/>
    <col width="9.140625" customWidth="1" style="1" min="3846" max="4097"/>
    <col width="3" customWidth="1" style="1" min="4098" max="4098"/>
    <col width="60.7109375" bestFit="1" customWidth="1" style="1" min="4099" max="4099"/>
    <col width="13.7109375" customWidth="1" style="1" min="4100" max="4100"/>
    <col width="13" customWidth="1" style="1" min="4101" max="4101"/>
    <col width="9.140625" customWidth="1" style="1" min="4102" max="4353"/>
    <col width="3" customWidth="1" style="1" min="4354" max="4354"/>
    <col width="60.7109375" bestFit="1" customWidth="1" style="1" min="4355" max="4355"/>
    <col width="13.7109375" customWidth="1" style="1" min="4356" max="4356"/>
    <col width="13" customWidth="1" style="1" min="4357" max="4357"/>
    <col width="9.140625" customWidth="1" style="1" min="4358" max="4609"/>
    <col width="3" customWidth="1" style="1" min="4610" max="4610"/>
    <col width="60.7109375" bestFit="1" customWidth="1" style="1" min="4611" max="4611"/>
    <col width="13.7109375" customWidth="1" style="1" min="4612" max="4612"/>
    <col width="13" customWidth="1" style="1" min="4613" max="4613"/>
    <col width="9.140625" customWidth="1" style="1" min="4614" max="4865"/>
    <col width="3" customWidth="1" style="1" min="4866" max="4866"/>
    <col width="60.7109375" bestFit="1" customWidth="1" style="1" min="4867" max="4867"/>
    <col width="13.7109375" customWidth="1" style="1" min="4868" max="4868"/>
    <col width="13" customWidth="1" style="1" min="4869" max="4869"/>
    <col width="9.140625" customWidth="1" style="1" min="4870" max="5121"/>
    <col width="3" customWidth="1" style="1" min="5122" max="5122"/>
    <col width="60.7109375" bestFit="1" customWidth="1" style="1" min="5123" max="5123"/>
    <col width="13.7109375" customWidth="1" style="1" min="5124" max="5124"/>
    <col width="13" customWidth="1" style="1" min="5125" max="5125"/>
    <col width="9.140625" customWidth="1" style="1" min="5126" max="5377"/>
    <col width="3" customWidth="1" style="1" min="5378" max="5378"/>
    <col width="60.7109375" bestFit="1" customWidth="1" style="1" min="5379" max="5379"/>
    <col width="13.7109375" customWidth="1" style="1" min="5380" max="5380"/>
    <col width="13" customWidth="1" style="1" min="5381" max="5381"/>
    <col width="9.140625" customWidth="1" style="1" min="5382" max="5633"/>
    <col width="3" customWidth="1" style="1" min="5634" max="5634"/>
    <col width="60.7109375" bestFit="1" customWidth="1" style="1" min="5635" max="5635"/>
    <col width="13.7109375" customWidth="1" style="1" min="5636" max="5636"/>
    <col width="13" customWidth="1" style="1" min="5637" max="5637"/>
    <col width="9.140625" customWidth="1" style="1" min="5638" max="5889"/>
    <col width="3" customWidth="1" style="1" min="5890" max="5890"/>
    <col width="60.7109375" bestFit="1" customWidth="1" style="1" min="5891" max="5891"/>
    <col width="13.7109375" customWidth="1" style="1" min="5892" max="5892"/>
    <col width="13" customWidth="1" style="1" min="5893" max="5893"/>
    <col width="9.140625" customWidth="1" style="1" min="5894" max="6145"/>
    <col width="3" customWidth="1" style="1" min="6146" max="6146"/>
    <col width="60.7109375" bestFit="1" customWidth="1" style="1" min="6147" max="6147"/>
    <col width="13.7109375" customWidth="1" style="1" min="6148" max="6148"/>
    <col width="13" customWidth="1" style="1" min="6149" max="6149"/>
    <col width="9.140625" customWidth="1" style="1" min="6150" max="6401"/>
    <col width="3" customWidth="1" style="1" min="6402" max="6402"/>
    <col width="60.7109375" bestFit="1" customWidth="1" style="1" min="6403" max="6403"/>
    <col width="13.7109375" customWidth="1" style="1" min="6404" max="6404"/>
    <col width="13" customWidth="1" style="1" min="6405" max="6405"/>
    <col width="9.140625" customWidth="1" style="1" min="6406" max="6657"/>
    <col width="3" customWidth="1" style="1" min="6658" max="6658"/>
    <col width="60.7109375" bestFit="1" customWidth="1" style="1" min="6659" max="6659"/>
    <col width="13.7109375" customWidth="1" style="1" min="6660" max="6660"/>
    <col width="13" customWidth="1" style="1" min="6661" max="6661"/>
    <col width="9.140625" customWidth="1" style="1" min="6662" max="6913"/>
    <col width="3" customWidth="1" style="1" min="6914" max="6914"/>
    <col width="60.7109375" bestFit="1" customWidth="1" style="1" min="6915" max="6915"/>
    <col width="13.7109375" customWidth="1" style="1" min="6916" max="6916"/>
    <col width="13" customWidth="1" style="1" min="6917" max="6917"/>
    <col width="9.140625" customWidth="1" style="1" min="6918" max="7169"/>
    <col width="3" customWidth="1" style="1" min="7170" max="7170"/>
    <col width="60.7109375" bestFit="1" customWidth="1" style="1" min="7171" max="7171"/>
    <col width="13.7109375" customWidth="1" style="1" min="7172" max="7172"/>
    <col width="13" customWidth="1" style="1" min="7173" max="7173"/>
    <col width="9.140625" customWidth="1" style="1" min="7174" max="7425"/>
    <col width="3" customWidth="1" style="1" min="7426" max="7426"/>
    <col width="60.7109375" bestFit="1" customWidth="1" style="1" min="7427" max="7427"/>
    <col width="13.7109375" customWidth="1" style="1" min="7428" max="7428"/>
    <col width="13" customWidth="1" style="1" min="7429" max="7429"/>
    <col width="9.140625" customWidth="1" style="1" min="7430" max="7681"/>
    <col width="3" customWidth="1" style="1" min="7682" max="7682"/>
    <col width="60.7109375" bestFit="1" customWidth="1" style="1" min="7683" max="7683"/>
    <col width="13.7109375" customWidth="1" style="1" min="7684" max="7684"/>
    <col width="13" customWidth="1" style="1" min="7685" max="7685"/>
    <col width="9.140625" customWidth="1" style="1" min="7686" max="7937"/>
    <col width="3" customWidth="1" style="1" min="7938" max="7938"/>
    <col width="60.7109375" bestFit="1" customWidth="1" style="1" min="7939" max="7939"/>
    <col width="13.7109375" customWidth="1" style="1" min="7940" max="7940"/>
    <col width="13" customWidth="1" style="1" min="7941" max="7941"/>
    <col width="9.140625" customWidth="1" style="1" min="7942" max="8193"/>
    <col width="3" customWidth="1" style="1" min="8194" max="8194"/>
    <col width="60.7109375" bestFit="1" customWidth="1" style="1" min="8195" max="8195"/>
    <col width="13.7109375" customWidth="1" style="1" min="8196" max="8196"/>
    <col width="13" customWidth="1" style="1" min="8197" max="8197"/>
    <col width="9.140625" customWidth="1" style="1" min="8198" max="8449"/>
    <col width="3" customWidth="1" style="1" min="8450" max="8450"/>
    <col width="60.7109375" bestFit="1" customWidth="1" style="1" min="8451" max="8451"/>
    <col width="13.7109375" customWidth="1" style="1" min="8452" max="8452"/>
    <col width="13" customWidth="1" style="1" min="8453" max="8453"/>
    <col width="9.140625" customWidth="1" style="1" min="8454" max="8705"/>
    <col width="3" customWidth="1" style="1" min="8706" max="8706"/>
    <col width="60.7109375" bestFit="1" customWidth="1" style="1" min="8707" max="8707"/>
    <col width="13.7109375" customWidth="1" style="1" min="8708" max="8708"/>
    <col width="13" customWidth="1" style="1" min="8709" max="8709"/>
    <col width="9.140625" customWidth="1" style="1" min="8710" max="8961"/>
    <col width="3" customWidth="1" style="1" min="8962" max="8962"/>
    <col width="60.7109375" bestFit="1" customWidth="1" style="1" min="8963" max="8963"/>
    <col width="13.7109375" customWidth="1" style="1" min="8964" max="8964"/>
    <col width="13" customWidth="1" style="1" min="8965" max="8965"/>
    <col width="9.140625" customWidth="1" style="1" min="8966" max="9217"/>
    <col width="3" customWidth="1" style="1" min="9218" max="9218"/>
    <col width="60.7109375" bestFit="1" customWidth="1" style="1" min="9219" max="9219"/>
    <col width="13.7109375" customWidth="1" style="1" min="9220" max="9220"/>
    <col width="13" customWidth="1" style="1" min="9221" max="9221"/>
    <col width="9.140625" customWidth="1" style="1" min="9222" max="9473"/>
    <col width="3" customWidth="1" style="1" min="9474" max="9474"/>
    <col width="60.7109375" bestFit="1" customWidth="1" style="1" min="9475" max="9475"/>
    <col width="13.7109375" customWidth="1" style="1" min="9476" max="9476"/>
    <col width="13" customWidth="1" style="1" min="9477" max="9477"/>
    <col width="9.140625" customWidth="1" style="1" min="9478" max="9729"/>
    <col width="3" customWidth="1" style="1" min="9730" max="9730"/>
    <col width="60.7109375" bestFit="1" customWidth="1" style="1" min="9731" max="9731"/>
    <col width="13.7109375" customWidth="1" style="1" min="9732" max="9732"/>
    <col width="13" customWidth="1" style="1" min="9733" max="9733"/>
    <col width="9.140625" customWidth="1" style="1" min="9734" max="9985"/>
    <col width="3" customWidth="1" style="1" min="9986" max="9986"/>
    <col width="60.7109375" bestFit="1" customWidth="1" style="1" min="9987" max="9987"/>
    <col width="13.7109375" customWidth="1" style="1" min="9988" max="9988"/>
    <col width="13" customWidth="1" style="1" min="9989" max="9989"/>
    <col width="9.140625" customWidth="1" style="1" min="9990" max="10241"/>
    <col width="3" customWidth="1" style="1" min="10242" max="10242"/>
    <col width="60.7109375" bestFit="1" customWidth="1" style="1" min="10243" max="10243"/>
    <col width="13.7109375" customWidth="1" style="1" min="10244" max="10244"/>
    <col width="13" customWidth="1" style="1" min="10245" max="10245"/>
    <col width="9.140625" customWidth="1" style="1" min="10246" max="10497"/>
    <col width="3" customWidth="1" style="1" min="10498" max="10498"/>
    <col width="60.7109375" bestFit="1" customWidth="1" style="1" min="10499" max="10499"/>
    <col width="13.7109375" customWidth="1" style="1" min="10500" max="10500"/>
    <col width="13" customWidth="1" style="1" min="10501" max="10501"/>
    <col width="9.140625" customWidth="1" style="1" min="10502" max="10753"/>
    <col width="3" customWidth="1" style="1" min="10754" max="10754"/>
    <col width="60.7109375" bestFit="1" customWidth="1" style="1" min="10755" max="10755"/>
    <col width="13.7109375" customWidth="1" style="1" min="10756" max="10756"/>
    <col width="13" customWidth="1" style="1" min="10757" max="10757"/>
    <col width="9.140625" customWidth="1" style="1" min="10758" max="11009"/>
    <col width="3" customWidth="1" style="1" min="11010" max="11010"/>
    <col width="60.7109375" bestFit="1" customWidth="1" style="1" min="11011" max="11011"/>
    <col width="13.7109375" customWidth="1" style="1" min="11012" max="11012"/>
    <col width="13" customWidth="1" style="1" min="11013" max="11013"/>
    <col width="9.140625" customWidth="1" style="1" min="11014" max="11265"/>
    <col width="3" customWidth="1" style="1" min="11266" max="11266"/>
    <col width="60.7109375" bestFit="1" customWidth="1" style="1" min="11267" max="11267"/>
    <col width="13.7109375" customWidth="1" style="1" min="11268" max="11268"/>
    <col width="13" customWidth="1" style="1" min="11269" max="11269"/>
    <col width="9.140625" customWidth="1" style="1" min="11270" max="11521"/>
    <col width="3" customWidth="1" style="1" min="11522" max="11522"/>
    <col width="60.7109375" bestFit="1" customWidth="1" style="1" min="11523" max="11523"/>
    <col width="13.7109375" customWidth="1" style="1" min="11524" max="11524"/>
    <col width="13" customWidth="1" style="1" min="11525" max="11525"/>
    <col width="9.140625" customWidth="1" style="1" min="11526" max="11777"/>
    <col width="3" customWidth="1" style="1" min="11778" max="11778"/>
    <col width="60.7109375" bestFit="1" customWidth="1" style="1" min="11779" max="11779"/>
    <col width="13.7109375" customWidth="1" style="1" min="11780" max="11780"/>
    <col width="13" customWidth="1" style="1" min="11781" max="11781"/>
    <col width="9.140625" customWidth="1" style="1" min="11782" max="12033"/>
    <col width="3" customWidth="1" style="1" min="12034" max="12034"/>
    <col width="60.7109375" bestFit="1" customWidth="1" style="1" min="12035" max="12035"/>
    <col width="13.7109375" customWidth="1" style="1" min="12036" max="12036"/>
    <col width="13" customWidth="1" style="1" min="12037" max="12037"/>
    <col width="9.140625" customWidth="1" style="1" min="12038" max="12289"/>
    <col width="3" customWidth="1" style="1" min="12290" max="12290"/>
    <col width="60.7109375" bestFit="1" customWidth="1" style="1" min="12291" max="12291"/>
    <col width="13.7109375" customWidth="1" style="1" min="12292" max="12292"/>
    <col width="13" customWidth="1" style="1" min="12293" max="12293"/>
    <col width="9.140625" customWidth="1" style="1" min="12294" max="12545"/>
    <col width="3" customWidth="1" style="1" min="12546" max="12546"/>
    <col width="60.7109375" bestFit="1" customWidth="1" style="1" min="12547" max="12547"/>
    <col width="13.7109375" customWidth="1" style="1" min="12548" max="12548"/>
    <col width="13" customWidth="1" style="1" min="12549" max="12549"/>
    <col width="9.140625" customWidth="1" style="1" min="12550" max="12801"/>
    <col width="3" customWidth="1" style="1" min="12802" max="12802"/>
    <col width="60.7109375" bestFit="1" customWidth="1" style="1" min="12803" max="12803"/>
    <col width="13.7109375" customWidth="1" style="1" min="12804" max="12804"/>
    <col width="13" customWidth="1" style="1" min="12805" max="12805"/>
    <col width="9.140625" customWidth="1" style="1" min="12806" max="13057"/>
    <col width="3" customWidth="1" style="1" min="13058" max="13058"/>
    <col width="60.7109375" bestFit="1" customWidth="1" style="1" min="13059" max="13059"/>
    <col width="13.7109375" customWidth="1" style="1" min="13060" max="13060"/>
    <col width="13" customWidth="1" style="1" min="13061" max="13061"/>
    <col width="9.140625" customWidth="1" style="1" min="13062" max="13313"/>
    <col width="3" customWidth="1" style="1" min="13314" max="13314"/>
    <col width="60.7109375" bestFit="1" customWidth="1" style="1" min="13315" max="13315"/>
    <col width="13.7109375" customWidth="1" style="1" min="13316" max="13316"/>
    <col width="13" customWidth="1" style="1" min="13317" max="13317"/>
    <col width="9.140625" customWidth="1" style="1" min="13318" max="13569"/>
    <col width="3" customWidth="1" style="1" min="13570" max="13570"/>
    <col width="60.7109375" bestFit="1" customWidth="1" style="1" min="13571" max="13571"/>
    <col width="13.7109375" customWidth="1" style="1" min="13572" max="13572"/>
    <col width="13" customWidth="1" style="1" min="13573" max="13573"/>
    <col width="9.140625" customWidth="1" style="1" min="13574" max="13825"/>
    <col width="3" customWidth="1" style="1" min="13826" max="13826"/>
    <col width="60.7109375" bestFit="1" customWidth="1" style="1" min="13827" max="13827"/>
    <col width="13.7109375" customWidth="1" style="1" min="13828" max="13828"/>
    <col width="13" customWidth="1" style="1" min="13829" max="13829"/>
    <col width="9.140625" customWidth="1" style="1" min="13830" max="14081"/>
    <col width="3" customWidth="1" style="1" min="14082" max="14082"/>
    <col width="60.7109375" bestFit="1" customWidth="1" style="1" min="14083" max="14083"/>
    <col width="13.7109375" customWidth="1" style="1" min="14084" max="14084"/>
    <col width="13" customWidth="1" style="1" min="14085" max="14085"/>
    <col width="9.140625" customWidth="1" style="1" min="14086" max="14337"/>
    <col width="3" customWidth="1" style="1" min="14338" max="14338"/>
    <col width="60.7109375" bestFit="1" customWidth="1" style="1" min="14339" max="14339"/>
    <col width="13.7109375" customWidth="1" style="1" min="14340" max="14340"/>
    <col width="13" customWidth="1" style="1" min="14341" max="14341"/>
    <col width="9.140625" customWidth="1" style="1" min="14342" max="14593"/>
    <col width="3" customWidth="1" style="1" min="14594" max="14594"/>
    <col width="60.7109375" bestFit="1" customWidth="1" style="1" min="14595" max="14595"/>
    <col width="13.7109375" customWidth="1" style="1" min="14596" max="14596"/>
    <col width="13" customWidth="1" style="1" min="14597" max="14597"/>
    <col width="9.140625" customWidth="1" style="1" min="14598" max="14849"/>
    <col width="3" customWidth="1" style="1" min="14850" max="14850"/>
    <col width="60.7109375" bestFit="1" customWidth="1" style="1" min="14851" max="14851"/>
    <col width="13.7109375" customWidth="1" style="1" min="14852" max="14852"/>
    <col width="13" customWidth="1" style="1" min="14853" max="14853"/>
    <col width="9.140625" customWidth="1" style="1" min="14854" max="15105"/>
    <col width="3" customWidth="1" style="1" min="15106" max="15106"/>
    <col width="60.7109375" bestFit="1" customWidth="1" style="1" min="15107" max="15107"/>
    <col width="13.7109375" customWidth="1" style="1" min="15108" max="15108"/>
    <col width="13" customWidth="1" style="1" min="15109" max="15109"/>
    <col width="9.140625" customWidth="1" style="1" min="15110" max="15361"/>
    <col width="3" customWidth="1" style="1" min="15362" max="15362"/>
    <col width="60.7109375" bestFit="1" customWidth="1" style="1" min="15363" max="15363"/>
    <col width="13.7109375" customWidth="1" style="1" min="15364" max="15364"/>
    <col width="13" customWidth="1" style="1" min="15365" max="15365"/>
    <col width="9.140625" customWidth="1" style="1" min="15366" max="15617"/>
    <col width="3" customWidth="1" style="1" min="15618" max="15618"/>
    <col width="60.7109375" bestFit="1" customWidth="1" style="1" min="15619" max="15619"/>
    <col width="13.7109375" customWidth="1" style="1" min="15620" max="15620"/>
    <col width="13" customWidth="1" style="1" min="15621" max="15621"/>
    <col width="9.140625" customWidth="1" style="1" min="15622" max="15873"/>
    <col width="3" customWidth="1" style="1" min="15874" max="15874"/>
    <col width="60.7109375" bestFit="1" customWidth="1" style="1" min="15875" max="15875"/>
    <col width="13.7109375" customWidth="1" style="1" min="15876" max="15876"/>
    <col width="13" customWidth="1" style="1" min="15877" max="15877"/>
    <col width="9.140625" customWidth="1" style="1" min="15878" max="16129"/>
    <col width="3" customWidth="1" style="1" min="16130" max="16130"/>
    <col width="60.7109375" bestFit="1" customWidth="1" style="1" min="16131" max="16131"/>
    <col width="13.7109375" customWidth="1" style="1" min="16132" max="16132"/>
    <col width="13" customWidth="1" style="1" min="16133" max="16133"/>
    <col width="9.140625" customWidth="1" style="1" min="16134" max="16384"/>
  </cols>
  <sheetData>
    <row r="1" ht="10.5" customFormat="1" customHeight="1" s="13">
      <c r="A1" s="12" t="inlineStr">
        <is>
          <t>ANASAYFA</t>
        </is>
      </c>
      <c r="D1" s="15" t="inlineStr">
        <is>
          <t>SYF.2</t>
        </is>
      </c>
      <c r="E1" s="15" t="inlineStr">
        <is>
          <t>SYF.2</t>
        </is>
      </c>
    </row>
    <row r="3" ht="27" customHeight="1">
      <c r="B3" s="295" t="inlineStr">
        <is>
          <t>VERGİ HESABI</t>
        </is>
      </c>
      <c r="C3" s="284">
        <f>'GELİR TABLOSU'!C6</f>
        <v/>
      </c>
      <c r="D3" s="284">
        <f>'GELİR TABLOSU'!E6</f>
        <v/>
      </c>
      <c r="E3" s="354" t="inlineStr">
        <is>
          <t>ASGARİ KURUMLAR HESAPLAMASI</t>
        </is>
      </c>
    </row>
    <row r="4" ht="13.5" customHeight="1" thickBot="1">
      <c r="B4" s="57" t="n"/>
      <c r="C4" s="58" t="n"/>
      <c r="D4" s="58" t="n"/>
      <c r="E4" s="58" t="n"/>
    </row>
    <row r="5" ht="13.5" customHeight="1" thickBot="1">
      <c r="B5" s="56">
        <f>IF(C5=0,"TİCARİ BİLANÇO KARI/ZARARI",IF(C5&gt;0,"TİCARİ BİLANÇO KARI","TİCARİ BİLANÇO ZARARI"))</f>
        <v/>
      </c>
      <c r="C5" s="286">
        <f>'GELİR TABLOSU'!C85</f>
        <v/>
      </c>
      <c r="D5" s="287">
        <f>'GELİR TABLOSU'!E85</f>
        <v/>
      </c>
      <c r="E5" s="287">
        <f>'GELİR TABLOSU'!E85</f>
        <v/>
      </c>
    </row>
    <row r="6" ht="13.5" customHeight="1" thickBot="1">
      <c r="B6" s="60" t="n"/>
      <c r="C6" s="61" t="n"/>
      <c r="D6" s="61" t="n"/>
      <c r="E6" s="61" t="n"/>
    </row>
    <row r="7" ht="13.5" customHeight="1" thickBot="1">
      <c r="B7" s="366" t="inlineStr">
        <is>
          <t>İLAVELER</t>
        </is>
      </c>
      <c r="C7" s="370">
        <f>C8+C9</f>
        <v/>
      </c>
      <c r="D7" s="371">
        <f>D8+D9</f>
        <v/>
      </c>
      <c r="E7" s="287">
        <f>E8+E9</f>
        <v/>
      </c>
    </row>
    <row r="8">
      <c r="B8" s="367" t="inlineStr">
        <is>
          <t>Kanunen Kabul Edilmeyen Giderler</t>
        </is>
      </c>
      <c r="C8" s="369" t="n"/>
      <c r="D8" s="369" t="n">
        <v>2121363.73</v>
      </c>
      <c r="E8" s="369">
        <f>D8</f>
        <v/>
      </c>
    </row>
    <row r="9" ht="13.5" customHeight="1" thickBot="1">
      <c r="B9" s="368" t="inlineStr">
        <is>
          <t>Finansman Gider Kısıtlaması</t>
        </is>
      </c>
      <c r="C9" s="365" t="n"/>
      <c r="D9" s="365">
        <f>'KKEG FİN. KISITLAMA HESAPL'!E20</f>
        <v/>
      </c>
      <c r="E9" s="365">
        <f>D9</f>
        <v/>
      </c>
    </row>
    <row r="10" ht="13.5" customHeight="1" thickBot="1">
      <c r="B10" s="60" t="n"/>
      <c r="C10" s="62" t="n"/>
      <c r="D10" s="62" t="n"/>
      <c r="E10" s="62" t="n"/>
    </row>
    <row r="11" ht="13.5" customHeight="1" thickBot="1">
      <c r="B11" s="56" t="inlineStr">
        <is>
          <t>ZARAR OLSA DAHİ İNDİRİLECEK İSTİSNA VE İNDİRİMLER</t>
        </is>
      </c>
      <c r="C11" s="288">
        <f>SUM(C12:C24)</f>
        <v/>
      </c>
      <c r="D11" s="63">
        <f>SUM(D12:D24)</f>
        <v/>
      </c>
      <c r="E11" s="63">
        <f>SUM(E12:E24)</f>
        <v/>
      </c>
    </row>
    <row r="12">
      <c r="B12" s="64" t="inlineStr">
        <is>
          <t>İştirak Kazançları İstisnası</t>
        </is>
      </c>
      <c r="C12" s="61" t="n"/>
      <c r="D12" s="291" t="n"/>
      <c r="E12" s="356" t="n"/>
    </row>
    <row r="13">
      <c r="B13" s="65" t="inlineStr">
        <is>
          <t>Yurtdışı İştirak Kazançları</t>
        </is>
      </c>
      <c r="C13" s="289" t="n"/>
      <c r="D13" s="66" t="n"/>
      <c r="E13" s="355" t="n"/>
    </row>
    <row r="14">
      <c r="B14" s="65" t="inlineStr">
        <is>
          <t>Tam Mükellef Anonim Şirketlerin Yurtdışı İştirak Hisseleri Satış Kazançları</t>
        </is>
      </c>
      <c r="C14" s="289" t="n"/>
      <c r="D14" s="66" t="n"/>
      <c r="E14" s="355" t="n"/>
    </row>
    <row r="15">
      <c r="B15" s="65" t="inlineStr">
        <is>
          <t>Emisyon Primi Kazancı</t>
        </is>
      </c>
      <c r="C15" s="289" t="n"/>
      <c r="D15" s="66" t="n"/>
      <c r="E15" s="66">
        <f>D15</f>
        <v/>
      </c>
    </row>
    <row r="16">
      <c r="B16" s="65" t="inlineStr">
        <is>
          <t>Taşınmaz Satış Kazancı İstisnası</t>
        </is>
      </c>
      <c r="C16" s="289" t="n"/>
      <c r="D16" s="66" t="n"/>
      <c r="E16" s="355" t="n"/>
    </row>
    <row r="17">
      <c r="B17" s="65" t="inlineStr">
        <is>
          <t>İştirak Hissesi Satış Kazancı İstisnası</t>
        </is>
      </c>
      <c r="C17" s="289" t="n"/>
      <c r="D17" s="66" t="n"/>
      <c r="E17" s="355" t="n"/>
    </row>
    <row r="18">
      <c r="B18" s="65" t="inlineStr">
        <is>
          <t>Yurt Dışı Şube Kazançları</t>
        </is>
      </c>
      <c r="C18" s="289" t="n"/>
      <c r="D18" s="66" t="n"/>
      <c r="E18" s="355" t="n"/>
    </row>
    <row r="19">
      <c r="B19" s="65" t="inlineStr">
        <is>
          <t>Yurt Dışı İnşaat Onarma, Montaj ve Teknik Hizmetlerden Sağlanan Kazançlar</t>
        </is>
      </c>
      <c r="C19" s="289" t="n"/>
      <c r="D19" s="66" t="n"/>
      <c r="E19" s="355" t="n"/>
    </row>
    <row r="20">
      <c r="B20" s="65" t="inlineStr">
        <is>
          <t>Serbest Bölgelerde Elde Edilen Kazançlar</t>
        </is>
      </c>
      <c r="C20" s="289" t="n"/>
      <c r="D20" s="66" t="n"/>
      <c r="E20" s="66">
        <f>D20</f>
        <v/>
      </c>
    </row>
    <row r="21">
      <c r="B21" s="65" t="inlineStr">
        <is>
          <t>Teknoloji Geliştirme Bölgelerinde Elde Edilen Kazançlar</t>
        </is>
      </c>
      <c r="C21" s="289" t="n"/>
      <c r="D21" s="66" t="n"/>
      <c r="E21" s="66" t="n">
        <v>0</v>
      </c>
    </row>
    <row r="22">
      <c r="B22" s="65" t="inlineStr">
        <is>
          <t>Sinai Mülkiyet Haklarında İstisna</t>
        </is>
      </c>
      <c r="C22" s="289" t="n"/>
      <c r="D22" s="66" t="n"/>
      <c r="E22" s="355" t="n"/>
    </row>
    <row r="23">
      <c r="B23" s="357" t="inlineStr">
        <is>
          <t>Kur Korumalı Mevduat Geliri</t>
        </is>
      </c>
      <c r="C23" s="358" t="n"/>
      <c r="D23" s="359" t="n"/>
      <c r="E23" s="360" t="n"/>
    </row>
    <row r="24" ht="13.5" customHeight="1" thickBot="1">
      <c r="B24" s="67" t="inlineStr">
        <is>
          <t>Diğer İndirimler ve İstisnalar</t>
        </is>
      </c>
      <c r="C24" s="290" t="n"/>
      <c r="D24" s="68" t="n"/>
      <c r="E24" s="361" t="n"/>
    </row>
    <row r="25" ht="13.5" customHeight="1" thickBot="1">
      <c r="B25" s="69" t="n"/>
      <c r="C25" s="70" t="n"/>
      <c r="D25" s="70" t="n"/>
      <c r="E25" s="70" t="n"/>
    </row>
    <row r="26" ht="13.5" customHeight="1" thickBot="1">
      <c r="B26" s="56" t="inlineStr">
        <is>
          <t>KAZANCIN BULUNMASI HALİNDE İNDİRİLECEK İSTİSNA VE İNDİRİMLER</t>
        </is>
      </c>
      <c r="C26" s="286">
        <f>SUM(C27:C36)</f>
        <v/>
      </c>
      <c r="D26" s="287">
        <f>SUM(D27:D36)</f>
        <v/>
      </c>
      <c r="E26" s="287">
        <f>SUM(E27:E36)</f>
        <v/>
      </c>
    </row>
    <row r="27">
      <c r="B27" s="64" t="inlineStr">
        <is>
          <t>Ar-Ge İndirimi</t>
        </is>
      </c>
      <c r="C27" s="292" t="n"/>
      <c r="D27" s="362" t="n"/>
      <c r="E27" s="362">
        <f>D27</f>
        <v/>
      </c>
    </row>
    <row r="28">
      <c r="B28" s="71" t="inlineStr">
        <is>
          <t>Tasarım İndirimi</t>
        </is>
      </c>
      <c r="C28" s="293" t="n"/>
      <c r="D28" s="66" t="n"/>
      <c r="E28" s="66">
        <f>D28</f>
        <v/>
      </c>
    </row>
    <row r="29">
      <c r="B29" s="71" t="inlineStr">
        <is>
          <t>Sponsorluk Harcamaları</t>
        </is>
      </c>
      <c r="C29" s="293" t="n"/>
      <c r="D29" s="66" t="n"/>
      <c r="E29" s="355" t="n"/>
    </row>
    <row r="30">
      <c r="B30" s="71" t="inlineStr">
        <is>
          <t>Bağış ve Yardımlar</t>
        </is>
      </c>
      <c r="C30" s="293" t="n"/>
      <c r="D30" s="66" t="n"/>
      <c r="E30" s="355" t="n"/>
    </row>
    <row r="31">
      <c r="B31" s="71" t="inlineStr">
        <is>
          <t>Risturnlar</t>
        </is>
      </c>
      <c r="C31" s="293" t="n"/>
      <c r="D31" s="66" t="n"/>
      <c r="E31" s="66">
        <f>D31</f>
        <v/>
      </c>
    </row>
    <row r="32">
      <c r="B32" s="71" t="inlineStr">
        <is>
          <t>Yatırım İndirimi İstisnası</t>
        </is>
      </c>
      <c r="C32" s="289" t="n"/>
      <c r="D32" s="66" t="n"/>
      <c r="E32" s="355" t="n"/>
    </row>
    <row r="33">
      <c r="B33" s="71" t="inlineStr">
        <is>
          <t>Nakdi Sermaye Artışından Kaynaklanan Faiz İndirimi</t>
        </is>
      </c>
      <c r="C33" s="289" t="n"/>
      <c r="D33" s="66" t="n"/>
      <c r="E33" s="355" t="n"/>
    </row>
    <row r="34">
      <c r="B34" s="71" t="inlineStr">
        <is>
          <t>Teknogirişim Sermaye Desteği İndirimi</t>
        </is>
      </c>
      <c r="C34" s="289" t="n"/>
      <c r="D34" s="66" t="n"/>
      <c r="E34" s="355" t="n"/>
      <c r="I34" s="105" t="n"/>
    </row>
    <row r="35">
      <c r="B35" s="71" t="inlineStr">
        <is>
          <t>Teknokent Sermaye Desteği İndirimi</t>
        </is>
      </c>
      <c r="C35" s="289" t="n"/>
      <c r="D35" s="66" t="n"/>
      <c r="I35" s="105" t="n"/>
    </row>
    <row r="36" ht="13.5" customHeight="1" thickBot="1">
      <c r="B36" s="72" t="inlineStr">
        <is>
          <t>Diğer İndirimler</t>
        </is>
      </c>
      <c r="C36" s="290" t="n"/>
      <c r="D36" s="68" t="n"/>
      <c r="E36" s="355" t="n"/>
    </row>
    <row r="37" ht="13.5" customHeight="1" thickBot="1">
      <c r="B37" s="73" t="n"/>
      <c r="C37" s="70" t="n"/>
      <c r="D37" s="70" t="n"/>
      <c r="E37" s="70" t="n"/>
    </row>
    <row r="38" ht="13.5" customHeight="1" thickBot="1">
      <c r="B38" s="56" t="inlineStr">
        <is>
          <t>MALİ KAR</t>
        </is>
      </c>
      <c r="C38" s="59">
        <f>C5+C7-C11-C26</f>
        <v/>
      </c>
      <c r="D38" s="59">
        <f>D5+D7-D11-D26</f>
        <v/>
      </c>
      <c r="E38" s="59">
        <f>E5+E7-E11-E26</f>
        <v/>
      </c>
    </row>
    <row r="39" ht="13.5" customHeight="1" thickBot="1">
      <c r="B39" s="73" t="n"/>
      <c r="C39" s="70" t="n"/>
      <c r="D39" s="70" t="n"/>
      <c r="E39" s="70" t="n"/>
    </row>
    <row r="40" ht="13.5" customHeight="1" thickBot="1">
      <c r="B40" s="56" t="inlineStr">
        <is>
          <t>MAHSUP EDİLECEK GEÇMİŞ YIL ZARARLARI</t>
        </is>
      </c>
      <c r="C40" s="59" t="n"/>
      <c r="D40" s="59" t="n"/>
      <c r="E40" s="59">
        <f>D40</f>
        <v/>
      </c>
    </row>
    <row r="41" ht="13.5" customHeight="1" thickBot="1">
      <c r="B41" s="60" t="n"/>
      <c r="C41" s="61" t="n"/>
      <c r="D41" s="61" t="n"/>
      <c r="E41" s="61" t="n"/>
    </row>
    <row r="42" ht="13.5" customHeight="1" thickBot="1">
      <c r="B42" s="56" t="inlineStr">
        <is>
          <t>GEÇİCİ VERGİ MATRAHI</t>
        </is>
      </c>
      <c r="C42" s="59">
        <f>IF((C38-C40)&lt;0,0,(C38-C40))</f>
        <v/>
      </c>
      <c r="D42" s="59">
        <f>D38-D40</f>
        <v/>
      </c>
      <c r="E42" s="59">
        <f>E38-E40</f>
        <v/>
      </c>
      <c r="F42" s="363" t="inlineStr">
        <is>
          <t>ÖDENMESİ GEREKEN VERGİ</t>
        </is>
      </c>
    </row>
    <row r="43" ht="13.5" customHeight="1" thickBot="1">
      <c r="B43" s="74" t="n"/>
      <c r="C43" s="70" t="n"/>
      <c r="D43" s="70" t="n"/>
      <c r="E43" s="70" t="n"/>
    </row>
    <row r="44" ht="13.5" customHeight="1" thickBot="1">
      <c r="B44" s="56" t="inlineStr">
        <is>
          <t>HESAPLANAN GEÇİCİ VERGİ</t>
        </is>
      </c>
      <c r="C44" s="75">
        <f>C42*0.22</f>
        <v/>
      </c>
      <c r="D44" s="75">
        <f>D42*0.25</f>
        <v/>
      </c>
      <c r="E44" s="75">
        <f>E42*0.1</f>
        <v/>
      </c>
      <c r="F44" s="364">
        <f>MAX(D44:E44)</f>
        <v/>
      </c>
    </row>
    <row r="45" ht="13.5" customHeight="1" thickBot="1">
      <c r="B45" s="76" t="n"/>
      <c r="C45" s="76" t="n"/>
      <c r="D45" s="76" t="n"/>
      <c r="E45" s="76" t="n"/>
    </row>
    <row r="46" ht="13.5" customHeight="1" thickBot="1">
      <c r="B46" s="56" t="inlineStr">
        <is>
          <t>ÖNCEKİ DÖNEMLERDE HESAPLANAN GEÇİCİ VERGİ</t>
        </is>
      </c>
      <c r="C46" s="75" t="n">
        <v>0</v>
      </c>
      <c r="D46" s="75" t="n">
        <v>4491166.7</v>
      </c>
      <c r="E46" s="75">
        <f>D46</f>
        <v/>
      </c>
      <c r="F46" s="75">
        <f>E46</f>
        <v/>
      </c>
    </row>
    <row r="47" ht="13.5" customHeight="1" thickBot="1">
      <c r="B47" s="74" t="n"/>
      <c r="C47" s="61" t="n"/>
      <c r="D47" s="61" t="n"/>
      <c r="E47" s="61" t="n"/>
    </row>
    <row r="48" ht="13.5" customHeight="1" thickBot="1">
      <c r="B48" s="56" t="inlineStr">
        <is>
          <t>ÖDENMESİ GEREKEN GEÇİCİ VERGİ</t>
        </is>
      </c>
      <c r="C48" s="59">
        <f>C44-C46</f>
        <v/>
      </c>
      <c r="D48" s="59">
        <f>+D44-D46</f>
        <v/>
      </c>
      <c r="E48" s="59">
        <f>E44-E46</f>
        <v/>
      </c>
      <c r="F48" s="59">
        <f>F44-F46</f>
        <v/>
      </c>
    </row>
    <row r="49" ht="13.5" customHeight="1" thickBot="1">
      <c r="B49" s="74" t="n"/>
      <c r="C49" s="61" t="n"/>
      <c r="D49" s="61" t="n"/>
      <c r="E49" s="61" t="n"/>
    </row>
    <row r="50" ht="13.5" customHeight="1" thickBot="1">
      <c r="B50" s="56" t="inlineStr">
        <is>
          <t>MAHSUP EDİLECEK YABANCI ÜLKELERDE ÖDENEN VERGİ TUTARI</t>
        </is>
      </c>
      <c r="C50" s="59" t="n">
        <v>0</v>
      </c>
      <c r="D50" s="59" t="n">
        <v>0</v>
      </c>
      <c r="E50" s="59">
        <f>D50</f>
        <v/>
      </c>
      <c r="F50" s="59">
        <f>E50</f>
        <v/>
      </c>
    </row>
    <row r="51" ht="13.5" customHeight="1" thickBot="1">
      <c r="B51" s="74" t="n"/>
      <c r="C51" s="61" t="n"/>
      <c r="D51" s="61" t="n"/>
      <c r="E51" s="61" t="n"/>
    </row>
    <row r="52" ht="13.5" customHeight="1" thickBot="1">
      <c r="B52" s="56" t="inlineStr">
        <is>
          <t>MAHSUP EDİLECEK TEVKİFAT TUTARI</t>
        </is>
      </c>
      <c r="C52" s="59" t="n">
        <v>0</v>
      </c>
      <c r="D52" s="59" t="n">
        <v>0</v>
      </c>
      <c r="E52" s="59">
        <f>D52</f>
        <v/>
      </c>
      <c r="F52" s="59">
        <f>E52</f>
        <v/>
      </c>
    </row>
    <row r="53" ht="13.5" customHeight="1" thickBot="1">
      <c r="B53" s="74" t="n"/>
      <c r="C53" s="61" t="n"/>
      <c r="D53" s="61" t="n"/>
      <c r="E53" s="61" t="n"/>
    </row>
    <row r="54" ht="13.5" customHeight="1" thickBot="1">
      <c r="B54" s="56" t="inlineStr">
        <is>
          <t>ÖDENECEK GEÇİCİ VERGİ</t>
        </is>
      </c>
      <c r="C54" s="77">
        <f>IF((C48-C50-C52)&lt;0,0,(C48-C50-C52))</f>
        <v/>
      </c>
      <c r="D54" s="77">
        <f>IF((D48-D50-D52)&lt;0,0,(D48-D50-D52))</f>
        <v/>
      </c>
      <c r="E54" s="77">
        <f>IF((E48-E50-E52)&lt;0,0,(E48-E50-E52))</f>
        <v/>
      </c>
      <c r="F54" s="77">
        <f>IF((F48-F50-F52)&lt;0,0,(F48-F50-F52))</f>
        <v/>
      </c>
    </row>
    <row r="55" ht="13.5" customHeight="1" thickBot="1">
      <c r="B55" s="74" t="n"/>
      <c r="C55" s="61" t="n"/>
      <c r="D55" s="61" t="n"/>
      <c r="E55" s="61" t="n"/>
    </row>
    <row r="56" ht="13.5" customHeight="1" thickBot="1">
      <c r="B56" s="56" t="inlineStr">
        <is>
          <t>SONRAKİ DÖNEME DEVREDEN YABANCI ÜLKELERDE ÖDENEN VERGİ TUTARI</t>
        </is>
      </c>
      <c r="C56" s="59" t="n">
        <v>0</v>
      </c>
      <c r="D56" s="59" t="n">
        <v>0</v>
      </c>
      <c r="E56" s="59">
        <f>D56</f>
        <v/>
      </c>
      <c r="F56" s="59">
        <f>E56</f>
        <v/>
      </c>
    </row>
    <row r="57" ht="13.5" customHeight="1" thickBot="1">
      <c r="B57" s="74" t="n"/>
      <c r="C57" s="61" t="n"/>
      <c r="D57" s="61" t="n"/>
      <c r="E57" s="61" t="n"/>
    </row>
    <row r="58" ht="13.5" customHeight="1" thickBot="1">
      <c r="B58" s="56" t="inlineStr">
        <is>
          <t>SONRAKİ DÖNEME DEVREDEN TEVKİFAT TUTARI</t>
        </is>
      </c>
      <c r="C58" s="59">
        <f>C52</f>
        <v/>
      </c>
      <c r="D58" s="59">
        <f>D52</f>
        <v/>
      </c>
      <c r="E58" s="59">
        <f>D58</f>
        <v/>
      </c>
      <c r="F58" s="59">
        <f>E58</f>
        <v/>
      </c>
    </row>
    <row r="59" ht="13.5" customHeight="1" thickBot="1">
      <c r="B59" s="74" t="n"/>
      <c r="C59" s="61" t="n"/>
      <c r="D59" s="61" t="n"/>
      <c r="E59" s="61" t="n"/>
    </row>
    <row r="60" ht="13.5" customHeight="1" thickBot="1">
      <c r="B60" s="56" t="inlineStr">
        <is>
          <t>SONRAKİ DÖNEME DEVREDEN GEÇİCİ VERGİ</t>
        </is>
      </c>
      <c r="C60" s="265">
        <f>C48+C52</f>
        <v/>
      </c>
      <c r="D60" s="265">
        <f>D58</f>
        <v/>
      </c>
      <c r="E60" s="265">
        <f>D60</f>
        <v/>
      </c>
      <c r="F60" s="265">
        <f>E60</f>
        <v/>
      </c>
    </row>
  </sheetData>
  <hyperlinks>
    <hyperlink ref="A1" location="'ANA SAYFA'!A1" display="ANASAYFA"/>
  </hyperlinks>
  <pageMargins left="0.7" right="0.7" top="0.75" bottom="0.75" header="0.3" footer="0.3"/>
  <pageSetup orientation="portrait" paperSize="9" scale="80"/>
</worksheet>
</file>

<file path=xl/worksheets/sheet4.xml><?xml version="1.0" encoding="utf-8"?>
<worksheet xmlns="http://schemas.openxmlformats.org/spreadsheetml/2006/main">
  <sheetPr codeName="Sayfa3">
    <tabColor theme="0"/>
    <outlinePr summaryBelow="1" summaryRight="1"/>
    <pageSetUpPr/>
  </sheetPr>
  <dimension ref="A1:M150"/>
  <sheetViews>
    <sheetView showGridLines="0" view="pageBreakPreview" topLeftCell="B1" zoomScale="115" zoomScaleNormal="115" zoomScaleSheetLayoutView="115" workbookViewId="0">
      <pane ySplit="7" topLeftCell="A124" activePane="bottomLeft" state="frozen"/>
      <selection activeCell="E22" sqref="E22"/>
      <selection pane="bottomLeft" activeCell="H130" sqref="H130"/>
    </sheetView>
  </sheetViews>
  <sheetFormatPr baseColWidth="8" defaultColWidth="9.140625" defaultRowHeight="12.75"/>
  <cols>
    <col width="9.140625" customWidth="1" style="1" min="1" max="1"/>
    <col width="4" bestFit="1" customWidth="1" style="82" min="2" max="2"/>
    <col width="31.140625" bestFit="1" customWidth="1" style="1" min="3" max="3"/>
    <col width="17" customWidth="1" style="1" min="4" max="5"/>
    <col width="4" bestFit="1" customWidth="1" style="82" min="6" max="6"/>
    <col width="40.7109375" bestFit="1" customWidth="1" style="1" min="7" max="7"/>
    <col width="13.7109375" bestFit="1" customWidth="1" style="1" min="8" max="8"/>
    <col width="17.42578125" customWidth="1" style="1" min="9" max="9"/>
    <col width="11.7109375" bestFit="1" customWidth="1" style="1" min="10" max="10"/>
    <col width="9.140625" customWidth="1" style="1" min="11" max="11"/>
    <col width="11.42578125" bestFit="1" customWidth="1" style="1" min="12" max="12"/>
    <col width="9.140625" customWidth="1" style="1" min="13" max="16384"/>
  </cols>
  <sheetData>
    <row r="1" ht="10.5" customFormat="1" customHeight="1" s="79">
      <c r="A1" s="78" t="inlineStr">
        <is>
          <t>ANASAYFA</t>
        </is>
      </c>
      <c r="F1" s="80" t="n"/>
      <c r="I1" s="81" t="inlineStr">
        <is>
          <t>SYF.3</t>
        </is>
      </c>
    </row>
    <row r="2" ht="13.5" customHeight="1" thickBot="1"/>
    <row r="3">
      <c r="B3" s="451">
        <f>'ANA SAYFA'!F11</f>
        <v/>
      </c>
      <c r="C3" s="452" t="n"/>
      <c r="D3" s="452" t="n"/>
      <c r="E3" s="452" t="n"/>
      <c r="F3" s="452" t="n"/>
      <c r="G3" s="452" t="n"/>
      <c r="H3" s="452" t="n"/>
      <c r="I3" s="453" t="n"/>
    </row>
    <row r="4">
      <c r="B4" s="464" t="inlineStr">
        <is>
          <t>KARŞILAŞTIRMALI  AYRINTILI BİLANÇO</t>
        </is>
      </c>
      <c r="I4" s="465" t="n"/>
    </row>
    <row r="5">
      <c r="B5" s="466" t="n"/>
      <c r="I5" s="465" t="n"/>
    </row>
    <row r="6">
      <c r="B6" s="83" t="n"/>
      <c r="I6" s="84" t="n"/>
    </row>
    <row r="7">
      <c r="B7" s="85" t="n"/>
      <c r="C7" s="86" t="n"/>
      <c r="D7" s="87">
        <f>'GELİR TABLOSU'!C6</f>
        <v/>
      </c>
      <c r="E7" s="87">
        <f>'GELİR TABLOSU'!E6</f>
        <v/>
      </c>
      <c r="F7" s="88" t="n"/>
      <c r="G7" s="89" t="n"/>
      <c r="H7" s="87">
        <f>D7</f>
        <v/>
      </c>
      <c r="I7" s="90">
        <f>E7</f>
        <v/>
      </c>
    </row>
    <row r="8" ht="13.5" customHeight="1" thickBot="1">
      <c r="B8" s="91" t="n">
        <v>1</v>
      </c>
      <c r="C8" s="92" t="inlineStr">
        <is>
          <t>DÖNEN VARLIKLAR</t>
        </is>
      </c>
      <c r="D8" s="93">
        <f>SUM(D9+D15+D22+D32+D41+D49+D53+D56)</f>
        <v/>
      </c>
      <c r="E8" s="93">
        <f>SUM(E9+E15+E22+E32+E41+E49+E53+E56)</f>
        <v/>
      </c>
      <c r="F8" s="94" t="n">
        <v>3</v>
      </c>
      <c r="G8" s="95" t="inlineStr">
        <is>
          <t>KISA VADELİ YABANCI KAYNAKLAR</t>
        </is>
      </c>
      <c r="H8" s="96">
        <f>SUM(H10+H21+H27+H34+H37+H40+H46+H54+H58)</f>
        <v/>
      </c>
      <c r="I8" s="97">
        <f>SUM(I10+I21+I27+I34+I37+I40+I46+I54+I58)</f>
        <v/>
      </c>
    </row>
    <row r="9">
      <c r="B9" s="98" t="n">
        <v>10</v>
      </c>
      <c r="C9" s="99" t="inlineStr">
        <is>
          <t>Hazır Değerler</t>
        </is>
      </c>
      <c r="D9" s="100">
        <f>SUM(D10,D11,D12,-D13,D14)</f>
        <v/>
      </c>
      <c r="E9" s="100">
        <f>SUM(E10,E11,E12,-E13,E14)</f>
        <v/>
      </c>
      <c r="F9" s="101" t="n"/>
      <c r="G9" s="102" t="n"/>
      <c r="H9" s="103" t="n"/>
      <c r="I9" s="104" t="n"/>
      <c r="M9" s="105" t="n"/>
    </row>
    <row r="10">
      <c r="B10" s="106" t="n">
        <v>100</v>
      </c>
      <c r="C10" s="80" t="inlineStr">
        <is>
          <t xml:space="preserve"> Kasa</t>
        </is>
      </c>
      <c r="D10" s="112">
        <v>55000.0</v>
      </c>
      <c r="E10" s="112">
        <v>55000.0</v>
      </c>
      <c r="F10" s="109" t="n">
        <v>30</v>
      </c>
      <c r="G10" s="102" t="inlineStr">
        <is>
          <t>Mali Borçlar</t>
        </is>
      </c>
      <c r="H10" s="110">
        <f>SUM(H11,H12,-H13,H14,H15,H16,H17,H18,-H19,H20)</f>
        <v/>
      </c>
      <c r="I10" s="111">
        <f>SUM(I11,I12,-I13,I14,I15,I16,I17,I18,-I19,I20)</f>
        <v/>
      </c>
      <c r="M10" s="1" t="inlineStr">
        <is>
          <t xml:space="preserve"> </t>
        </is>
      </c>
    </row>
    <row r="11">
      <c r="B11" s="106" t="n">
        <v>101</v>
      </c>
      <c r="C11" s="79" t="inlineStr">
        <is>
          <t xml:space="preserve"> Alınan Çekler</t>
        </is>
      </c>
      <c r="D11" s="112"/>
      <c r="E11" s="112"/>
      <c r="F11" s="101" t="n">
        <v>300</v>
      </c>
      <c r="G11" s="80" t="inlineStr">
        <is>
          <t xml:space="preserve"> Banka Kredileri</t>
        </is>
      </c>
      <c r="H11" s="113">
        <v>2300000.0</v>
      </c>
      <c r="I11" s="316">
        <v>2300000.0</v>
      </c>
    </row>
    <row r="12">
      <c r="B12" s="106" t="n">
        <v>102</v>
      </c>
      <c r="C12" s="79" t="inlineStr">
        <is>
          <t xml:space="preserve"> Bankalar</t>
        </is>
      </c>
      <c r="D12" s="112">
        <v>450000.0</v>
      </c>
      <c r="E12" s="112">
        <v>450000.0</v>
      </c>
      <c r="F12" s="101" t="n">
        <v>301</v>
      </c>
      <c r="G12" s="80" t="inlineStr">
        <is>
          <t xml:space="preserve"> Finansal Kir.İşlemlerinden Doğan Borçlar</t>
        </is>
      </c>
      <c r="H12" s="112"/>
      <c r="I12" s="113"/>
    </row>
    <row r="13">
      <c r="B13" s="106" t="n">
        <v>103</v>
      </c>
      <c r="C13" s="79" t="inlineStr">
        <is>
          <t xml:space="preserve"> Verilen Çekler ve Ödeme Emir.(-)</t>
        </is>
      </c>
      <c r="D13" s="112">
        <v>280000.0</v>
      </c>
      <c r="E13" s="112">
        <v>280000.0</v>
      </c>
      <c r="F13" s="101" t="n">
        <v>302</v>
      </c>
      <c r="G13" s="80" t="inlineStr">
        <is>
          <t xml:space="preserve"> Ertelenmiş Fin.Kir.Borçlanma Mal. (-)</t>
        </is>
      </c>
      <c r="H13" s="112"/>
      <c r="I13" s="113"/>
      <c r="L13" s="1" t="inlineStr">
        <is>
          <t xml:space="preserve"> </t>
        </is>
      </c>
    </row>
    <row r="14">
      <c r="B14" s="106" t="n">
        <v>108</v>
      </c>
      <c r="C14" s="79" t="inlineStr">
        <is>
          <t xml:space="preserve"> Diğer Hazır Değerler</t>
        </is>
      </c>
      <c r="D14" s="112"/>
      <c r="E14" s="112"/>
      <c r="F14" s="101" t="n">
        <v>303</v>
      </c>
      <c r="G14" s="79" t="inlineStr">
        <is>
          <t xml:space="preserve"> Uzun Vadeli Kredilerin </t>
        </is>
      </c>
      <c r="H14" s="112"/>
      <c r="I14" s="113"/>
    </row>
    <row r="15">
      <c r="B15" s="114" t="n">
        <v>11</v>
      </c>
      <c r="C15" s="115" t="inlineStr">
        <is>
          <t xml:space="preserve">Menkul Kıymetler </t>
        </is>
      </c>
      <c r="D15" s="110">
        <f>SUM(D16,D17,D18,D19,-D20,-D21)</f>
        <v/>
      </c>
      <c r="E15" s="112">
        <f>SUM(E16,E17,E18,E19,-E20,-E21)</f>
        <v/>
      </c>
      <c r="F15" s="101" t="n"/>
      <c r="G15" s="79" t="inlineStr">
        <is>
          <t xml:space="preserve"> Anapara Taksitleri ve Faizleri</t>
        </is>
      </c>
      <c r="H15" s="112"/>
      <c r="I15" s="113"/>
      <c r="L15" s="1" t="inlineStr">
        <is>
          <t xml:space="preserve"> </t>
        </is>
      </c>
    </row>
    <row r="16">
      <c r="B16" s="106" t="n">
        <v>110</v>
      </c>
      <c r="C16" s="79" t="inlineStr">
        <is>
          <t xml:space="preserve"> Hisse Senetleri</t>
        </is>
      </c>
      <c r="D16" s="112"/>
      <c r="E16" s="112"/>
      <c r="F16" s="101" t="n">
        <v>304</v>
      </c>
      <c r="G16" s="79" t="inlineStr">
        <is>
          <t xml:space="preserve"> Tahvil, Anapara, Borç Taksit ve Faizleri</t>
        </is>
      </c>
      <c r="H16" s="112"/>
      <c r="I16" s="113"/>
    </row>
    <row r="17">
      <c r="B17" s="106" t="n">
        <v>111</v>
      </c>
      <c r="C17" s="79" t="inlineStr">
        <is>
          <t xml:space="preserve"> Özel Kesim Tahv. Senet ve Bon.</t>
        </is>
      </c>
      <c r="D17" s="112"/>
      <c r="E17" s="112"/>
      <c r="F17" s="101" t="n">
        <v>305</v>
      </c>
      <c r="G17" s="79" t="inlineStr">
        <is>
          <t xml:space="preserve"> Çıkarılmış Bonolar ve Senetler</t>
        </is>
      </c>
      <c r="H17" s="112"/>
      <c r="I17" s="113"/>
    </row>
    <row r="18">
      <c r="B18" s="106" t="n">
        <v>112</v>
      </c>
      <c r="C18" s="79" t="inlineStr">
        <is>
          <t xml:space="preserve"> Kamu Kesimi Tahv. Senet ve Bon.</t>
        </is>
      </c>
      <c r="D18" s="112"/>
      <c r="E18" s="112"/>
      <c r="F18" s="101" t="n">
        <v>306</v>
      </c>
      <c r="G18" s="79" t="inlineStr">
        <is>
          <t xml:space="preserve"> Çıkarılmış, Diğer Menkul Kıymetler</t>
        </is>
      </c>
      <c r="H18" s="112"/>
      <c r="I18" s="113"/>
    </row>
    <row r="19">
      <c r="B19" s="106" t="n">
        <v>118</v>
      </c>
      <c r="C19" s="79" t="inlineStr">
        <is>
          <t xml:space="preserve"> Diğer Menkul Kıymetler</t>
        </is>
      </c>
      <c r="D19" s="112"/>
      <c r="E19" s="112"/>
      <c r="F19" s="101" t="n">
        <v>308</v>
      </c>
      <c r="G19" s="79" t="inlineStr">
        <is>
          <t xml:space="preserve"> Menkul Kıymetler İhraç Farkları (-)</t>
        </is>
      </c>
      <c r="H19" s="112"/>
      <c r="I19" s="113"/>
    </row>
    <row r="20">
      <c r="B20" s="106" t="n">
        <v>119</v>
      </c>
      <c r="C20" s="79" t="inlineStr">
        <is>
          <t xml:space="preserve"> Menkul Kıymetler Değer</t>
        </is>
      </c>
      <c r="D20" s="112"/>
      <c r="E20" s="112"/>
      <c r="F20" s="101" t="n">
        <v>309</v>
      </c>
      <c r="G20" s="79" t="inlineStr">
        <is>
          <t xml:space="preserve"> Diğer Mali Borçlar</t>
        </is>
      </c>
      <c r="H20" s="112"/>
      <c r="I20" s="113"/>
    </row>
    <row r="21">
      <c r="B21" s="106" t="n"/>
      <c r="C21" s="79" t="inlineStr">
        <is>
          <t xml:space="preserve"> Düşüklüğü Karşılığı (-)</t>
        </is>
      </c>
      <c r="D21" s="112"/>
      <c r="E21" s="112"/>
      <c r="F21" s="109" t="n">
        <v>32</v>
      </c>
      <c r="G21" s="102" t="inlineStr">
        <is>
          <t>Ticari Borçlar</t>
        </is>
      </c>
      <c r="H21" s="110">
        <f>SUM(H22,H23,-H24,H25,H26)</f>
        <v/>
      </c>
      <c r="I21" s="111">
        <f>SUM(I22,I23,-I24,I25,I26)</f>
        <v/>
      </c>
    </row>
    <row r="22">
      <c r="B22" s="116" t="n">
        <v>12</v>
      </c>
      <c r="C22" s="102" t="inlineStr">
        <is>
          <t>Ticari Alacaklar</t>
        </is>
      </c>
      <c r="D22" s="110">
        <f>SUM(D23,D24,-D25,-D26,-D27,D28,D29,D30,-D31)</f>
        <v/>
      </c>
      <c r="E22" s="110">
        <f>SUM(E23,E24,-E25,-E26,-E27,E28,E29,E30,-E31)</f>
        <v/>
      </c>
      <c r="F22" s="101" t="n">
        <v>320</v>
      </c>
      <c r="G22" s="79" t="inlineStr">
        <is>
          <t xml:space="preserve"> Satıcılar</t>
        </is>
      </c>
      <c r="H22" s="113">
        <v>2200000.0</v>
      </c>
      <c r="I22" s="112">
        <v>2200000.0</v>
      </c>
    </row>
    <row r="23">
      <c r="B23" s="106" t="n">
        <v>120</v>
      </c>
      <c r="C23" s="79" t="inlineStr">
        <is>
          <t xml:space="preserve"> Alıcılar</t>
        </is>
      </c>
      <c r="D23" s="385">
        <v>3700000.0</v>
      </c>
      <c r="E23" s="112">
        <v>3700000.0</v>
      </c>
      <c r="F23" s="101" t="n">
        <v>321</v>
      </c>
      <c r="G23" s="79" t="inlineStr">
        <is>
          <t xml:space="preserve"> Borç Senetleri</t>
        </is>
      </c>
      <c r="H23" s="112">
        <v>450000.0</v>
      </c>
      <c r="I23" s="113">
        <v>450000.0</v>
      </c>
    </row>
    <row r="24">
      <c r="B24" s="106" t="n">
        <v>121</v>
      </c>
      <c r="C24" s="79" t="inlineStr">
        <is>
          <t xml:space="preserve"> Alacak Senetleri</t>
        </is>
      </c>
      <c r="D24" s="112">
        <v>350000.0</v>
      </c>
      <c r="E24" s="112">
        <v>350000.0</v>
      </c>
      <c r="F24" s="101" t="n">
        <v>322</v>
      </c>
      <c r="G24" s="79" t="inlineStr">
        <is>
          <t xml:space="preserve"> Borç Senetleri Reeskontu (-)</t>
        </is>
      </c>
      <c r="H24" s="112"/>
      <c r="I24" s="113"/>
    </row>
    <row r="25">
      <c r="B25" s="106" t="n">
        <v>122</v>
      </c>
      <c r="C25" s="79" t="inlineStr">
        <is>
          <t xml:space="preserve"> Alacak Senetleri Reeskontu (-)</t>
        </is>
      </c>
      <c r="D25" s="112"/>
      <c r="E25" s="112"/>
      <c r="F25" s="101" t="n">
        <v>326</v>
      </c>
      <c r="G25" s="79" t="inlineStr">
        <is>
          <t xml:space="preserve"> Alınan Depozito ve Teminatlar</t>
        </is>
      </c>
      <c r="H25" s="113"/>
      <c r="I25" s="113"/>
    </row>
    <row r="26">
      <c r="B26" s="106" t="n">
        <v>124</v>
      </c>
      <c r="C26" s="79" t="inlineStr">
        <is>
          <t xml:space="preserve"> Kazanılmamış Finansal Kiralama </t>
        </is>
      </c>
      <c r="D26" s="112"/>
      <c r="E26" s="112"/>
      <c r="F26" s="101" t="n">
        <v>329</v>
      </c>
      <c r="G26" s="79" t="inlineStr">
        <is>
          <t xml:space="preserve"> Diğer Ticari Borçlar</t>
        </is>
      </c>
      <c r="H26" s="113"/>
      <c r="I26" s="112"/>
    </row>
    <row r="27">
      <c r="B27" s="106" t="n"/>
      <c r="C27" s="79" t="inlineStr">
        <is>
          <t xml:space="preserve"> Faiz Gelirleri (-)</t>
        </is>
      </c>
      <c r="D27" s="112"/>
      <c r="E27" s="112"/>
      <c r="F27" s="109" t="n">
        <v>33</v>
      </c>
      <c r="G27" s="102" t="inlineStr">
        <is>
          <t>Diğer Borçlar</t>
        </is>
      </c>
      <c r="H27" s="110">
        <f>SUM(H28,H29,H30,H31,H32,-H33)</f>
        <v/>
      </c>
      <c r="I27" s="111">
        <f>SUM(I28,I29,I30,I31,I32,-I33)</f>
        <v/>
      </c>
    </row>
    <row r="28">
      <c r="B28" s="106" t="n">
        <v>126</v>
      </c>
      <c r="C28" s="79" t="inlineStr">
        <is>
          <t xml:space="preserve"> Verilen Depozito ve Teminatlar</t>
        </is>
      </c>
      <c r="D28" s="112">
        <v>45000.0</v>
      </c>
      <c r="E28" s="112">
        <v>45000.0</v>
      </c>
      <c r="F28" s="101" t="n">
        <v>331</v>
      </c>
      <c r="G28" s="79" t="inlineStr">
        <is>
          <t xml:space="preserve"> Ortaklara Borçlar</t>
        </is>
      </c>
      <c r="H28" s="312"/>
      <c r="I28" s="113"/>
    </row>
    <row r="29">
      <c r="B29" s="106" t="n">
        <v>127</v>
      </c>
      <c r="C29" s="79" t="inlineStr">
        <is>
          <t xml:space="preserve"> Diğer Ticari Alacaklar</t>
        </is>
      </c>
      <c r="D29" s="112"/>
      <c r="E29" s="112"/>
      <c r="F29" s="101" t="n">
        <v>332</v>
      </c>
      <c r="G29" s="79" t="inlineStr">
        <is>
          <t xml:space="preserve"> İştiraklere Borçlar</t>
        </is>
      </c>
      <c r="H29" s="112"/>
      <c r="I29" s="113"/>
    </row>
    <row r="30">
      <c r="B30" s="106" t="n">
        <v>128</v>
      </c>
      <c r="C30" s="79" t="inlineStr">
        <is>
          <t xml:space="preserve"> Şüpheli Ticari Alacaklar</t>
        </is>
      </c>
      <c r="D30" s="112">
        <v>320000.0</v>
      </c>
      <c r="E30" s="112">
        <v>320000.0</v>
      </c>
      <c r="F30" s="101" t="n">
        <v>333</v>
      </c>
      <c r="G30" s="79" t="inlineStr">
        <is>
          <t xml:space="preserve"> Bağlı Ortaklıklara Borçlar</t>
        </is>
      </c>
      <c r="H30" s="112"/>
      <c r="I30" s="113"/>
    </row>
    <row r="31">
      <c r="B31" s="106" t="n">
        <v>129</v>
      </c>
      <c r="C31" s="79" t="inlineStr">
        <is>
          <t xml:space="preserve"> Şüpheli Ticari Alacaklar Karş. (-)</t>
        </is>
      </c>
      <c r="D31" s="112">
        <v>320000.0</v>
      </c>
      <c r="E31" s="112">
        <v>320000.0</v>
      </c>
      <c r="F31" s="101" t="n">
        <v>335</v>
      </c>
      <c r="G31" s="79" t="inlineStr">
        <is>
          <t xml:space="preserve"> Personele Borçlar</t>
        </is>
      </c>
      <c r="H31" s="113">
        <v>40000.0</v>
      </c>
      <c r="I31" s="112">
        <v>40000.0</v>
      </c>
    </row>
    <row r="32">
      <c r="B32" s="116" t="n">
        <v>13</v>
      </c>
      <c r="C32" s="102" t="inlineStr">
        <is>
          <t>Diğer Alacaklar</t>
        </is>
      </c>
      <c r="D32" s="110">
        <f>SUM(D33,D34,D35,D36,D37,-D38,D39,-D40)</f>
        <v/>
      </c>
      <c r="E32" s="110">
        <f>SUM(E33,E34,E35,E36,E37,-E38,E39,-E40)</f>
        <v/>
      </c>
      <c r="F32" s="101" t="n">
        <v>336</v>
      </c>
      <c r="G32" s="79" t="inlineStr">
        <is>
          <t xml:space="preserve"> Diğer Çeşitli Borçlar</t>
        </is>
      </c>
      <c r="H32" s="112"/>
      <c r="I32" s="112"/>
    </row>
    <row r="33">
      <c r="B33" s="106" t="n">
        <v>131</v>
      </c>
      <c r="C33" s="79" t="inlineStr">
        <is>
          <t xml:space="preserve"> Ortaklardan Alacaklar</t>
        </is>
      </c>
      <c r="D33" s="312">
        <v>50000.0</v>
      </c>
      <c r="E33" s="112">
        <v>50000.0</v>
      </c>
      <c r="F33" s="101" t="n">
        <v>337</v>
      </c>
      <c r="G33" s="79" t="inlineStr">
        <is>
          <t xml:space="preserve"> Diğer Borç Senetleri Reeskontu (-)</t>
        </is>
      </c>
      <c r="H33" s="112"/>
      <c r="I33" s="113"/>
    </row>
    <row r="34">
      <c r="B34" s="106" t="n">
        <v>132</v>
      </c>
      <c r="C34" s="79" t="inlineStr">
        <is>
          <t xml:space="preserve"> İştiraklerden Alacaklar</t>
        </is>
      </c>
      <c r="D34" s="112"/>
      <c r="E34" s="112"/>
      <c r="F34" s="109" t="n">
        <v>34</v>
      </c>
      <c r="G34" s="102" t="inlineStr">
        <is>
          <t>Alınan Avanslar</t>
        </is>
      </c>
      <c r="H34" s="110">
        <f>SUM(H35:H36)</f>
        <v/>
      </c>
      <c r="I34" s="111">
        <f>SUM(I35:I36)</f>
        <v/>
      </c>
    </row>
    <row r="35">
      <c r="B35" s="106" t="n">
        <v>133</v>
      </c>
      <c r="C35" s="79" t="inlineStr">
        <is>
          <t xml:space="preserve"> Bağlı Ortaklıklardan Alacaklar</t>
        </is>
      </c>
      <c r="D35" s="112"/>
      <c r="E35" s="112"/>
      <c r="F35" s="101" t="n">
        <v>340</v>
      </c>
      <c r="G35" s="80" t="inlineStr">
        <is>
          <t xml:space="preserve"> Alınan Sipariş Avansları</t>
        </is>
      </c>
      <c r="H35" s="315"/>
      <c r="I35" s="112"/>
    </row>
    <row r="36">
      <c r="B36" s="106" t="n">
        <v>135</v>
      </c>
      <c r="C36" s="79" t="inlineStr">
        <is>
          <t xml:space="preserve"> Personelden Alacaklar</t>
        </is>
      </c>
      <c r="D36" s="112"/>
      <c r="E36" s="112"/>
      <c r="F36" s="101" t="n">
        <v>349</v>
      </c>
      <c r="G36" s="80" t="inlineStr">
        <is>
          <t xml:space="preserve"> Alınan Diğer Avanslar</t>
        </is>
      </c>
      <c r="H36" s="112"/>
      <c r="I36" s="113"/>
    </row>
    <row r="37">
      <c r="B37" s="106" t="n">
        <v>136</v>
      </c>
      <c r="C37" s="79" t="inlineStr">
        <is>
          <t xml:space="preserve"> Diğer Çeşitli Alacaklar</t>
        </is>
      </c>
      <c r="D37" s="313"/>
      <c r="E37" s="112"/>
      <c r="F37" s="109" t="n">
        <v>35</v>
      </c>
      <c r="G37" s="102" t="inlineStr">
        <is>
          <t>Yıllara Yaygın İnş. Ve On. Hak.</t>
        </is>
      </c>
      <c r="H37" s="110">
        <f>SUM(H38:H39)</f>
        <v/>
      </c>
      <c r="I37" s="111">
        <f>SUM(I38:I39)</f>
        <v/>
      </c>
    </row>
    <row r="38">
      <c r="B38" s="106" t="n">
        <v>137</v>
      </c>
      <c r="C38" s="79" t="inlineStr">
        <is>
          <t xml:space="preserve"> Diğer Alacak Senetleri Reesk. (-)</t>
        </is>
      </c>
      <c r="D38" s="112"/>
      <c r="E38" s="112"/>
      <c r="F38" s="101" t="n">
        <v>350</v>
      </c>
      <c r="G38" s="80" t="inlineStr">
        <is>
          <t xml:space="preserve"> Yıllara Yaygın İnş. Ve On. Hak. bedelleri</t>
        </is>
      </c>
      <c r="H38" s="112"/>
      <c r="I38" s="112"/>
    </row>
    <row r="39">
      <c r="B39" s="106" t="n">
        <v>138</v>
      </c>
      <c r="C39" s="79" t="inlineStr">
        <is>
          <t xml:space="preserve"> Şüpheli Diğer Alacaklar</t>
        </is>
      </c>
      <c r="D39" s="112"/>
      <c r="E39" s="112"/>
      <c r="F39" s="101" t="n">
        <v>358</v>
      </c>
      <c r="G39" s="80" t="inlineStr">
        <is>
          <t xml:space="preserve"> Yıllara Yaygın İnş. Enflasyon Düz. Hesabı</t>
        </is>
      </c>
      <c r="H39" s="112"/>
      <c r="I39" s="113"/>
    </row>
    <row r="40">
      <c r="B40" s="106" t="n">
        <v>139</v>
      </c>
      <c r="C40" s="79" t="inlineStr">
        <is>
          <t xml:space="preserve"> Şüpheli Diğer Alacaklar Karşılığı (-)</t>
        </is>
      </c>
      <c r="D40" s="112"/>
      <c r="E40" s="112"/>
      <c r="F40" s="109" t="n">
        <v>36</v>
      </c>
      <c r="G40" s="102" t="inlineStr">
        <is>
          <t>Ödenecek Vergi ve Diğer Yüküm.</t>
        </is>
      </c>
      <c r="H40" s="110">
        <f>SUM(H41:H45)</f>
        <v/>
      </c>
      <c r="I40" s="111">
        <f>SUM(I41:I45)</f>
        <v/>
      </c>
    </row>
    <row r="41">
      <c r="B41" s="116" t="n">
        <v>15</v>
      </c>
      <c r="C41" s="102" t="inlineStr">
        <is>
          <t>Stoklar</t>
        </is>
      </c>
      <c r="D41" s="110">
        <f>SUM(D42,D43,D44,D45,D46,-D47,D48)</f>
        <v/>
      </c>
      <c r="E41" s="110">
        <f>SUM(E42,E43,E44,E45,E46,-E47,E48)</f>
        <v/>
      </c>
      <c r="F41" s="101" t="n">
        <v>360</v>
      </c>
      <c r="G41" s="79" t="inlineStr">
        <is>
          <t xml:space="preserve"> Ödenecek Vergi ve Fonları</t>
        </is>
      </c>
      <c r="H41" s="113">
        <v>160000.0</v>
      </c>
      <c r="I41" s="112">
        <v>160000.0</v>
      </c>
    </row>
    <row r="42">
      <c r="B42" s="106" t="n">
        <v>150</v>
      </c>
      <c r="C42" s="79" t="inlineStr">
        <is>
          <t xml:space="preserve"> İlk Madde ve Malzeme</t>
        </is>
      </c>
      <c r="D42" s="312">
        <v>750000.0</v>
      </c>
      <c r="E42" s="112">
        <v>1800000.0</v>
      </c>
      <c r="F42" s="101" t="n">
        <v>361</v>
      </c>
      <c r="G42" s="79" t="inlineStr">
        <is>
          <t xml:space="preserve"> Ödenecek Sosyal Güvenlik Kesintileri</t>
        </is>
      </c>
      <c r="H42" s="113">
        <v>70000.0</v>
      </c>
      <c r="I42" s="112">
        <v>70000.0</v>
      </c>
    </row>
    <row r="43">
      <c r="B43" s="106" t="n">
        <v>151</v>
      </c>
      <c r="C43" s="79" t="inlineStr">
        <is>
          <t xml:space="preserve"> Yarı Mamüller</t>
        </is>
      </c>
      <c r="D43" s="312">
        <v>200000.0</v>
      </c>
      <c r="E43" s="112">
        <v>7700000.0</v>
      </c>
      <c r="F43" s="101" t="n">
        <v>368</v>
      </c>
      <c r="G43" s="79" t="inlineStr">
        <is>
          <t xml:space="preserve"> Vadesi Geçmiş Ert. veya Taksitlendirilmiş</t>
        </is>
      </c>
      <c r="H43" s="312"/>
      <c r="I43" s="113"/>
    </row>
    <row r="44">
      <c r="B44" s="106" t="n">
        <v>152</v>
      </c>
      <c r="C44" s="79" t="inlineStr">
        <is>
          <t xml:space="preserve"> Mamüller</t>
        </is>
      </c>
      <c r="D44" s="312">
        <v>650000.0</v>
      </c>
      <c r="E44" s="112">
        <v>650000.0</v>
      </c>
      <c r="F44" s="101" t="n"/>
      <c r="G44" s="79" t="inlineStr">
        <is>
          <t xml:space="preserve"> Vergi ve Diğer Yükümlülükler</t>
        </is>
      </c>
      <c r="H44" s="112"/>
      <c r="I44" s="113"/>
    </row>
    <row r="45">
      <c r="B45" s="106" t="n">
        <v>153</v>
      </c>
      <c r="C45" s="79" t="inlineStr">
        <is>
          <t xml:space="preserve"> Ticari Mallar</t>
        </is>
      </c>
      <c r="D45" s="112">
        <v>1100000.0</v>
      </c>
      <c r="E45" s="112">
        <v>1100000.0</v>
      </c>
      <c r="F45" s="101" t="n">
        <v>369</v>
      </c>
      <c r="G45" s="79" t="inlineStr">
        <is>
          <t xml:space="preserve"> Ödenecek Diğer Yükümlülükler</t>
        </is>
      </c>
      <c r="H45" s="112"/>
      <c r="I45" s="112"/>
    </row>
    <row r="46">
      <c r="B46" s="106" t="n">
        <v>157</v>
      </c>
      <c r="C46" s="79" t="inlineStr">
        <is>
          <t xml:space="preserve"> Diğer Stoklar</t>
        </is>
      </c>
      <c r="D46" s="112"/>
      <c r="E46" s="112"/>
      <c r="F46" s="109" t="n">
        <v>37</v>
      </c>
      <c r="G46" s="102" t="inlineStr">
        <is>
          <t>Borç ve Gider Karşılıkları</t>
        </is>
      </c>
      <c r="H46" s="110">
        <f>SUM(H47,H48,-H49,-H50,H51,H52,H53)</f>
        <v/>
      </c>
      <c r="I46" s="111">
        <f>SUM(I47,I48,-I49,-I50,I51,I52,I53)</f>
        <v/>
      </c>
    </row>
    <row r="47">
      <c r="B47" s="106" t="n">
        <v>158</v>
      </c>
      <c r="C47" s="79" t="inlineStr">
        <is>
          <t xml:space="preserve"> Stok Değer Düşüklüğü Karşılığı (-)</t>
        </is>
      </c>
      <c r="D47" s="112"/>
      <c r="E47" s="112"/>
      <c r="F47" s="101" t="n">
        <v>370</v>
      </c>
      <c r="G47" s="79" t="inlineStr">
        <is>
          <t xml:space="preserve"> Dönem Karı Vergi ve Diğer</t>
        </is>
      </c>
      <c r="H47" s="112"/>
      <c r="I47" s="112"/>
    </row>
    <row r="48">
      <c r="B48" s="106" t="n">
        <v>159</v>
      </c>
      <c r="C48" s="80" t="inlineStr">
        <is>
          <t xml:space="preserve"> Verilen Sipariş Avansları</t>
        </is>
      </c>
      <c r="D48" s="112"/>
      <c r="E48" s="112"/>
      <c r="F48" s="101" t="n"/>
      <c r="G48" s="79" t="inlineStr">
        <is>
          <t xml:space="preserve"> Yasal Yükümlülük Karşılıkları</t>
        </is>
      </c>
      <c r="H48" s="113"/>
      <c r="I48" s="113">
        <f>'GELİR TABLOSU'!E83</f>
        <v/>
      </c>
    </row>
    <row r="49">
      <c r="B49" s="116" t="n">
        <v>17</v>
      </c>
      <c r="C49" s="102" t="inlineStr">
        <is>
          <t>Yıllara Yaygın İnş. Ve On. Mal.</t>
        </is>
      </c>
      <c r="D49" s="110">
        <f>SUM(D50:D52)</f>
        <v/>
      </c>
      <c r="E49" s="110">
        <f>SUM(E50:E52)</f>
        <v/>
      </c>
      <c r="F49" s="101" t="n">
        <v>371</v>
      </c>
      <c r="G49" s="79" t="inlineStr">
        <is>
          <t xml:space="preserve"> Dönem Karının Peşin Ödenen Vergi</t>
        </is>
      </c>
      <c r="H49" s="312"/>
      <c r="I49" s="113"/>
    </row>
    <row r="50">
      <c r="B50" s="106" t="n">
        <v>170</v>
      </c>
      <c r="C50" s="80" t="inlineStr">
        <is>
          <t xml:space="preserve"> Yıllara Yaygın İnş. Ve On. Mal.</t>
        </is>
      </c>
      <c r="D50" s="296"/>
      <c r="E50" s="112"/>
      <c r="F50" s="101" t="n"/>
      <c r="G50" s="79" t="inlineStr">
        <is>
          <t xml:space="preserve"> ve Diğer Yükümlülükleri (-)</t>
        </is>
      </c>
      <c r="H50" s="113"/>
      <c r="I50" s="112"/>
    </row>
    <row r="51">
      <c r="B51" s="106" t="n">
        <v>178</v>
      </c>
      <c r="C51" s="80" t="inlineStr">
        <is>
          <t xml:space="preserve"> Yıllara Yaygın İnş. Enf.Düz. Hes.</t>
        </is>
      </c>
      <c r="D51" s="112"/>
      <c r="E51" s="296"/>
      <c r="F51" s="101" t="n">
        <v>372</v>
      </c>
      <c r="G51" s="79" t="inlineStr">
        <is>
          <t xml:space="preserve"> Kıdem Tazminatı Karşılığı</t>
        </is>
      </c>
      <c r="H51" s="112"/>
      <c r="I51" s="112"/>
    </row>
    <row r="52">
      <c r="B52" s="106" t="n">
        <v>179</v>
      </c>
      <c r="C52" s="79" t="inlineStr">
        <is>
          <t xml:space="preserve"> Taşeronlara Verilen Avanslar</t>
        </is>
      </c>
      <c r="D52" s="112"/>
      <c r="E52" s="296"/>
      <c r="F52" s="101" t="n">
        <v>373</v>
      </c>
      <c r="G52" s="79" t="inlineStr">
        <is>
          <t xml:space="preserve"> Maliyet Giderleri Karşılığı</t>
        </is>
      </c>
      <c r="H52" s="112"/>
      <c r="I52" s="113"/>
    </row>
    <row r="53">
      <c r="B53" s="116" t="n">
        <v>18</v>
      </c>
      <c r="C53" s="118" t="inlineStr">
        <is>
          <t>Gel. Ayl. Ait Gid. Ve Gelir Tah.</t>
        </is>
      </c>
      <c r="D53" s="110">
        <f>SUM(D54:D55)</f>
        <v/>
      </c>
      <c r="E53" s="110">
        <f>SUM(E54:E55)</f>
        <v/>
      </c>
      <c r="F53" s="101" t="n">
        <v>379</v>
      </c>
      <c r="G53" s="79" t="inlineStr">
        <is>
          <t xml:space="preserve"> Diğer Borç ve Gider Karşılıkları</t>
        </is>
      </c>
      <c r="H53" s="112"/>
      <c r="I53" s="113"/>
    </row>
    <row r="54">
      <c r="B54" s="106" t="n">
        <v>180</v>
      </c>
      <c r="C54" s="79" t="inlineStr">
        <is>
          <t xml:space="preserve"> Gelecek Aylara Ait Giderler</t>
        </is>
      </c>
      <c r="D54" s="312"/>
      <c r="E54" s="112"/>
      <c r="F54" s="119" t="n">
        <v>38</v>
      </c>
      <c r="G54" s="119" t="inlineStr">
        <is>
          <t>Gelecek Aylara Ait Gelirler ve Gider</t>
        </is>
      </c>
      <c r="H54" s="110">
        <f>SUM(H56:H57)</f>
        <v/>
      </c>
      <c r="I54" s="111">
        <f>SUM(I56:I57)</f>
        <v/>
      </c>
    </row>
    <row r="55">
      <c r="B55" s="106" t="n">
        <v>181</v>
      </c>
      <c r="C55" s="79" t="inlineStr">
        <is>
          <t xml:space="preserve"> Gelir Tahakkukları</t>
        </is>
      </c>
      <c r="D55" s="296"/>
      <c r="E55" s="296"/>
      <c r="F55" s="109" t="n"/>
      <c r="G55" s="102" t="inlineStr">
        <is>
          <t>Tahakkukları</t>
        </is>
      </c>
      <c r="H55" s="110"/>
      <c r="I55" s="111"/>
    </row>
    <row r="56">
      <c r="B56" s="116" t="n">
        <v>19</v>
      </c>
      <c r="C56" s="118" t="inlineStr">
        <is>
          <t>Diğer Dönen Varlıklar</t>
        </is>
      </c>
      <c r="D56" s="110">
        <f>SUM(D57,D58,D59,D60,D61+D62,D63,D64,-D65)</f>
        <v/>
      </c>
      <c r="E56" s="110">
        <f>SUM(E57,E58,E59,E60,E61+E62,E63,E64,-E65)</f>
        <v/>
      </c>
      <c r="F56" s="101" t="n">
        <v>380</v>
      </c>
      <c r="G56" s="79" t="inlineStr">
        <is>
          <t xml:space="preserve"> Gelecek Aylara Ait Gelirler</t>
        </is>
      </c>
      <c r="H56" s="112"/>
      <c r="I56" s="113"/>
    </row>
    <row r="57">
      <c r="B57" s="106" t="n">
        <v>190</v>
      </c>
      <c r="C57" s="79" t="inlineStr">
        <is>
          <t xml:space="preserve"> Devreden KDV</t>
        </is>
      </c>
      <c r="D57" s="112">
        <v>180000.0</v>
      </c>
      <c r="E57" s="112">
        <v>180000.0</v>
      </c>
      <c r="F57" s="101" t="n">
        <v>381</v>
      </c>
      <c r="G57" s="79" t="inlineStr">
        <is>
          <t xml:space="preserve"> Gider Tahakkukları</t>
        </is>
      </c>
      <c r="H57" s="316"/>
      <c r="I57" s="315"/>
    </row>
    <row r="58">
      <c r="B58" s="106" t="n">
        <v>191</v>
      </c>
      <c r="C58" s="79" t="inlineStr">
        <is>
          <t xml:space="preserve"> İndirilecek KDV</t>
        </is>
      </c>
      <c r="D58" s="112"/>
      <c r="E58" s="112"/>
      <c r="F58" s="109" t="n">
        <v>39</v>
      </c>
      <c r="G58" s="102" t="inlineStr">
        <is>
          <t>Diğer Kısa Vadeli Yabancı Kaynaklar</t>
        </is>
      </c>
      <c r="H58" s="110">
        <f>SUM(H59:H65)</f>
        <v/>
      </c>
      <c r="I58" s="111">
        <f>SUM(I59:I65)</f>
        <v/>
      </c>
    </row>
    <row r="59">
      <c r="B59" s="106" t="n">
        <v>192</v>
      </c>
      <c r="C59" s="79" t="inlineStr">
        <is>
          <t xml:space="preserve"> Diğer KDV</t>
        </is>
      </c>
      <c r="D59" s="112"/>
      <c r="E59" s="112"/>
      <c r="F59" s="101" t="n">
        <v>391</v>
      </c>
      <c r="G59" s="79" t="inlineStr">
        <is>
          <t xml:space="preserve"> Hesaplanan KDV</t>
        </is>
      </c>
      <c r="H59" s="112"/>
      <c r="I59" s="113"/>
    </row>
    <row r="60">
      <c r="B60" s="106" t="n">
        <v>193</v>
      </c>
      <c r="C60" s="79" t="inlineStr">
        <is>
          <t xml:space="preserve"> Peşin Ödenen Vergiler ve Fonlar</t>
        </is>
      </c>
      <c r="D60" s="112"/>
      <c r="E60" s="112"/>
      <c r="F60" s="101" t="n">
        <v>392</v>
      </c>
      <c r="G60" s="79" t="inlineStr">
        <is>
          <t xml:space="preserve"> Diğer KDV</t>
        </is>
      </c>
      <c r="H60" s="112"/>
      <c r="I60" s="113"/>
    </row>
    <row r="61">
      <c r="B61" s="106" t="n">
        <v>195</v>
      </c>
      <c r="C61" s="79" t="inlineStr">
        <is>
          <t xml:space="preserve"> İş Avansları</t>
        </is>
      </c>
      <c r="D61" s="112"/>
      <c r="E61" s="112"/>
      <c r="F61" s="101" t="n">
        <v>393</v>
      </c>
      <c r="G61" s="79" t="inlineStr">
        <is>
          <t xml:space="preserve"> Merkez Ve Şubeler Cari Hesabı</t>
        </is>
      </c>
      <c r="H61" s="107"/>
      <c r="I61" s="117"/>
    </row>
    <row r="62">
      <c r="B62" s="106" t="n">
        <v>196</v>
      </c>
      <c r="C62" s="79" t="inlineStr">
        <is>
          <t xml:space="preserve"> Personel Avansları</t>
        </is>
      </c>
      <c r="D62" s="112"/>
      <c r="E62" s="112"/>
      <c r="F62" s="101" t="n">
        <v>397</v>
      </c>
      <c r="G62" s="79" t="inlineStr">
        <is>
          <t xml:space="preserve"> Sayım ve Tesellüm Fazlaları</t>
        </is>
      </c>
      <c r="H62" s="112"/>
      <c r="I62" s="113"/>
    </row>
    <row r="63">
      <c r="B63" s="106" t="n">
        <v>197</v>
      </c>
      <c r="C63" s="79" t="inlineStr">
        <is>
          <t xml:space="preserve"> Sayım ve Tesellüm Noksanları</t>
        </is>
      </c>
      <c r="D63" s="112"/>
      <c r="E63" s="112"/>
      <c r="F63" s="101" t="n">
        <v>399</v>
      </c>
      <c r="G63" s="79" t="inlineStr">
        <is>
          <t xml:space="preserve"> Diğer Çeşitli Yabancı Kaynaklar</t>
        </is>
      </c>
      <c r="H63" s="112"/>
      <c r="I63" s="113"/>
    </row>
    <row r="64">
      <c r="B64" s="106" t="n">
        <v>198</v>
      </c>
      <c r="C64" s="79" t="inlineStr">
        <is>
          <t xml:space="preserve"> Diğer Çeşitli Dönen Varlıklar</t>
        </is>
      </c>
      <c r="D64" s="112"/>
      <c r="E64" s="112"/>
      <c r="F64" s="101" t="n"/>
      <c r="G64" s="79" t="n"/>
      <c r="H64" s="112"/>
      <c r="I64" s="113"/>
    </row>
    <row r="65">
      <c r="B65" s="120" t="n">
        <v>199</v>
      </c>
      <c r="C65" s="121" t="inlineStr">
        <is>
          <t xml:space="preserve"> Diğer Dönen Varlıklar Karşılığı (-)</t>
        </is>
      </c>
      <c r="D65" s="314"/>
      <c r="E65" s="112"/>
      <c r="F65" s="101" t="n"/>
      <c r="G65" s="79" t="n"/>
      <c r="H65" s="314"/>
      <c r="I65" s="113"/>
    </row>
    <row r="66" ht="13.5" customHeight="1" thickBot="1">
      <c r="B66" s="319" t="n">
        <v>2</v>
      </c>
      <c r="C66" s="320" t="inlineStr">
        <is>
          <t>DURAN VARLIKLAR</t>
        </is>
      </c>
      <c r="D66" s="321">
        <f>SUM(D67+D74+D82+D96+D107+D116+D122+D126)</f>
        <v/>
      </c>
      <c r="E66" s="322">
        <f>SUM(E67+E74+E82+E96+E107+E116+E122+E126)</f>
        <v/>
      </c>
      <c r="F66" s="323" t="n">
        <v>4</v>
      </c>
      <c r="G66" s="324" t="inlineStr">
        <is>
          <t>UZUN VADELİ YABANCI KAYNAKLAR</t>
        </is>
      </c>
      <c r="H66" s="322">
        <f>SUM(H67+H76+H82+H89+H92+H95+H99)</f>
        <v/>
      </c>
      <c r="I66" s="325">
        <f>SUM(I67+I76+I82+I89+I92+I95+I99)</f>
        <v/>
      </c>
    </row>
    <row r="67">
      <c r="B67" s="116" t="n">
        <v>22</v>
      </c>
      <c r="C67" s="102" t="inlineStr">
        <is>
          <t>Ticari Alacaklar</t>
        </is>
      </c>
      <c r="D67" s="110">
        <f>SUM(D68,D69,-D70,-D71,D72,-D73)</f>
        <v/>
      </c>
      <c r="E67" s="110">
        <f>SUM(E68,E69,-E70,-E71,E72,-E73)</f>
        <v/>
      </c>
      <c r="F67" s="126" t="n">
        <v>40</v>
      </c>
      <c r="G67" s="115" t="inlineStr">
        <is>
          <t>Mali Borçlar</t>
        </is>
      </c>
      <c r="H67" s="110">
        <f>SUM(H68,H69,-H70,H71,H72,H73,-H74,H75)</f>
        <v/>
      </c>
      <c r="I67" s="111">
        <f>SUM(I68,I69,-I70,I71,I72,I73,-I74,I75)</f>
        <v/>
      </c>
    </row>
    <row r="68">
      <c r="B68" s="106" t="n">
        <v>220</v>
      </c>
      <c r="C68" s="122" t="inlineStr">
        <is>
          <t xml:space="preserve"> Alıcılar</t>
        </is>
      </c>
      <c r="D68" s="112"/>
      <c r="E68" s="112"/>
      <c r="F68" s="123" t="n">
        <v>400</v>
      </c>
      <c r="G68" s="124" t="inlineStr">
        <is>
          <t xml:space="preserve"> Banka Kredileri</t>
        </is>
      </c>
      <c r="H68" s="113">
        <v>2000000.0</v>
      </c>
      <c r="I68" s="113">
        <v>2000000.0</v>
      </c>
    </row>
    <row r="69">
      <c r="B69" s="106" t="n">
        <v>221</v>
      </c>
      <c r="C69" s="125" t="inlineStr">
        <is>
          <t xml:space="preserve"> Alacak Senetleri</t>
        </is>
      </c>
      <c r="D69" s="112"/>
      <c r="E69" s="112"/>
      <c r="F69" s="123" t="n">
        <v>401</v>
      </c>
      <c r="G69" s="80" t="inlineStr">
        <is>
          <t xml:space="preserve"> Finansal Kir.İşlemlerinden Doğan Borçlar</t>
        </is>
      </c>
      <c r="H69" s="112"/>
      <c r="I69" s="113"/>
    </row>
    <row r="70">
      <c r="B70" s="106" t="n">
        <v>222</v>
      </c>
      <c r="C70" s="125" t="inlineStr">
        <is>
          <t xml:space="preserve"> Alacak Senetleri Reeskontu (-)</t>
        </is>
      </c>
      <c r="D70" s="112"/>
      <c r="E70" s="112"/>
      <c r="F70" s="101" t="n">
        <v>402</v>
      </c>
      <c r="G70" s="80" t="inlineStr">
        <is>
          <t xml:space="preserve"> Ertelenmiş Fin.Kir.Borçlanma Mal. (-)</t>
        </is>
      </c>
      <c r="H70" s="112"/>
      <c r="I70" s="113"/>
    </row>
    <row r="71">
      <c r="B71" s="106" t="n">
        <v>224</v>
      </c>
      <c r="C71" s="125" t="inlineStr">
        <is>
          <t xml:space="preserve"> Kazanılmamış Fin. Kir. Faiz Gelirleri (-)</t>
        </is>
      </c>
      <c r="D71" s="112"/>
      <c r="E71" s="112"/>
      <c r="F71" s="123" t="n">
        <v>405</v>
      </c>
      <c r="G71" s="124" t="inlineStr">
        <is>
          <t xml:space="preserve"> Çıkarılmış Tahviller</t>
        </is>
      </c>
      <c r="H71" s="112"/>
      <c r="I71" s="113"/>
    </row>
    <row r="72">
      <c r="B72" s="106" t="n">
        <v>226</v>
      </c>
      <c r="C72" s="125" t="inlineStr">
        <is>
          <t xml:space="preserve"> Verilen Depozito ve Teminatlar</t>
        </is>
      </c>
      <c r="D72" s="112"/>
      <c r="E72" s="112"/>
      <c r="F72" s="123" t="n">
        <v>407</v>
      </c>
      <c r="G72" s="124" t="inlineStr">
        <is>
          <t xml:space="preserve"> Çıkarılmış Diğer Menkul</t>
        </is>
      </c>
      <c r="H72" s="112"/>
      <c r="I72" s="113"/>
    </row>
    <row r="73">
      <c r="B73" s="106" t="n">
        <v>229</v>
      </c>
      <c r="C73" s="125" t="inlineStr">
        <is>
          <t xml:space="preserve"> Şüpheli Alacaklar Karşılığı (-)</t>
        </is>
      </c>
      <c r="D73" s="112"/>
      <c r="E73" s="112"/>
      <c r="F73" s="123" t="n"/>
      <c r="G73" s="124" t="inlineStr">
        <is>
          <t xml:space="preserve"> Kıymetler</t>
        </is>
      </c>
      <c r="H73" s="112"/>
      <c r="I73" s="113"/>
    </row>
    <row r="74">
      <c r="B74" s="116" t="n">
        <v>23</v>
      </c>
      <c r="C74" s="102" t="inlineStr">
        <is>
          <t>Diğer Alacaklar</t>
        </is>
      </c>
      <c r="D74" s="110">
        <f>SUM(D75,D76,D77,D78,D79,-D80,-D81)</f>
        <v/>
      </c>
      <c r="E74" s="110">
        <f>SUM(E75,E76,E77,E78,E79,-E80,-E81)</f>
        <v/>
      </c>
      <c r="F74" s="123" t="n">
        <v>408</v>
      </c>
      <c r="G74" s="124" t="inlineStr">
        <is>
          <t xml:space="preserve"> Menkul Kıymetler İhraç Farkı (-)</t>
        </is>
      </c>
      <c r="H74" s="112"/>
      <c r="I74" s="113"/>
    </row>
    <row r="75">
      <c r="B75" s="106" t="n">
        <v>231</v>
      </c>
      <c r="C75" s="125" t="inlineStr">
        <is>
          <t xml:space="preserve"> Ortaklardan Alacaklar</t>
        </is>
      </c>
      <c r="D75" s="112"/>
      <c r="E75" s="112"/>
      <c r="F75" s="123" t="n">
        <v>409</v>
      </c>
      <c r="G75" s="124" t="inlineStr">
        <is>
          <t xml:space="preserve"> Diğer Mali Borçlar</t>
        </is>
      </c>
      <c r="H75" s="112"/>
      <c r="I75" s="113"/>
    </row>
    <row r="76">
      <c r="B76" s="106" t="n">
        <v>232</v>
      </c>
      <c r="C76" s="125" t="inlineStr">
        <is>
          <t xml:space="preserve"> İştiraklerden Alacaklar</t>
        </is>
      </c>
      <c r="D76" s="112"/>
      <c r="E76" s="112"/>
      <c r="F76" s="126" t="n">
        <v>42</v>
      </c>
      <c r="G76" s="115" t="inlineStr">
        <is>
          <t>Ticari Borçlar</t>
        </is>
      </c>
      <c r="H76" s="110">
        <f>SUM(H77,H78,-H79,H80,H81)</f>
        <v/>
      </c>
      <c r="I76" s="111">
        <f>SUM(I77,I78,-I79,I80,I81)</f>
        <v/>
      </c>
    </row>
    <row r="77">
      <c r="B77" s="106" t="n">
        <v>233</v>
      </c>
      <c r="C77" s="125" t="inlineStr">
        <is>
          <t xml:space="preserve"> Bağlı Ortaklıklardan Alacaklar</t>
        </is>
      </c>
      <c r="D77" s="112"/>
      <c r="E77" s="112"/>
      <c r="F77" s="123" t="n">
        <v>420</v>
      </c>
      <c r="G77" s="124" t="inlineStr">
        <is>
          <t xml:space="preserve"> Satıcılar</t>
        </is>
      </c>
      <c r="H77" s="112"/>
      <c r="I77" s="113"/>
    </row>
    <row r="78">
      <c r="B78" s="106" t="n">
        <v>235</v>
      </c>
      <c r="C78" s="125" t="inlineStr">
        <is>
          <t xml:space="preserve"> Personelden Alacaklar</t>
        </is>
      </c>
      <c r="D78" s="112"/>
      <c r="E78" s="107"/>
      <c r="F78" s="123" t="n">
        <v>421</v>
      </c>
      <c r="G78" s="124" t="inlineStr">
        <is>
          <t xml:space="preserve"> Borç Senetleri</t>
        </is>
      </c>
      <c r="H78" s="112"/>
      <c r="I78" s="113"/>
    </row>
    <row r="79">
      <c r="B79" s="106" t="n">
        <v>236</v>
      </c>
      <c r="C79" s="125" t="inlineStr">
        <is>
          <t xml:space="preserve"> Diğer Çeşitli Alacaklar</t>
        </is>
      </c>
      <c r="D79" s="112"/>
      <c r="E79" s="112"/>
      <c r="F79" s="123" t="n">
        <v>422</v>
      </c>
      <c r="G79" s="124" t="inlineStr">
        <is>
          <t xml:space="preserve"> Borç Senetleri Reeskontu (-)</t>
        </is>
      </c>
      <c r="H79" s="112"/>
      <c r="I79" s="113"/>
    </row>
    <row r="80">
      <c r="B80" s="106" t="n">
        <v>237</v>
      </c>
      <c r="C80" s="125" t="inlineStr">
        <is>
          <t xml:space="preserve"> Diğer Alacak Senetleri Reeskontu (-)</t>
        </is>
      </c>
      <c r="D80" s="112"/>
      <c r="E80" s="112"/>
      <c r="F80" s="123" t="n">
        <v>426</v>
      </c>
      <c r="G80" s="124" t="inlineStr">
        <is>
          <t xml:space="preserve"> Alınan Depozito ve Teminatlar</t>
        </is>
      </c>
      <c r="H80" s="112"/>
      <c r="I80" s="113"/>
    </row>
    <row r="81">
      <c r="B81" s="106" t="n">
        <v>239</v>
      </c>
      <c r="C81" s="125" t="inlineStr">
        <is>
          <t xml:space="preserve"> Şüpheli Alacaklar Karşılığı (-)</t>
        </is>
      </c>
      <c r="D81" s="112"/>
      <c r="E81" s="112"/>
      <c r="F81" s="123" t="n">
        <v>429</v>
      </c>
      <c r="G81" s="124" t="inlineStr">
        <is>
          <t xml:space="preserve"> Diğer Ticari Borçlar</t>
        </is>
      </c>
      <c r="H81" s="112"/>
      <c r="I81" s="113"/>
    </row>
    <row r="82">
      <c r="B82" s="116" t="n">
        <v>24</v>
      </c>
      <c r="C82" s="102" t="inlineStr">
        <is>
          <t>Mali Duran Varlıklar</t>
        </is>
      </c>
      <c r="D82" s="110">
        <f>SUM(D83,-D84,-D85,D86,-D87,-D88,-D89,E91,D90,-D91,-D92,-D93,-D94,-D95)</f>
        <v/>
      </c>
      <c r="E82" s="110">
        <f>SUM(E83,-E84,-E85,E86,-E87,-E88,-E89,E90,-E91,-E92,-E93,-E94,-E95)</f>
        <v/>
      </c>
      <c r="F82" s="126" t="n">
        <v>43</v>
      </c>
      <c r="G82" s="115" t="inlineStr">
        <is>
          <t>Diğer Borçlar</t>
        </is>
      </c>
      <c r="H82" s="110">
        <f>SUM(H83,H84,H85,H86,-H87,H88)</f>
        <v/>
      </c>
      <c r="I82" s="111">
        <f>SUM(I83,I84,I85,I86,-I87,I88)</f>
        <v/>
      </c>
    </row>
    <row r="83">
      <c r="B83" s="106" t="n">
        <v>240</v>
      </c>
      <c r="C83" s="125" t="inlineStr">
        <is>
          <t xml:space="preserve"> Bağlı Menkul Kıymetler</t>
        </is>
      </c>
      <c r="D83" s="112"/>
      <c r="E83" s="112"/>
      <c r="F83" s="123" t="n">
        <v>431</v>
      </c>
      <c r="G83" s="124" t="inlineStr">
        <is>
          <t xml:space="preserve"> Ortaklara Borçlar</t>
        </is>
      </c>
      <c r="H83" s="112"/>
      <c r="I83" s="113"/>
    </row>
    <row r="84">
      <c r="B84" s="106" t="n">
        <v>241</v>
      </c>
      <c r="C84" s="125" t="inlineStr">
        <is>
          <t xml:space="preserve"> Bağlı Menkul Kıymetler Değer</t>
        </is>
      </c>
      <c r="D84" s="112"/>
      <c r="E84" s="112"/>
      <c r="F84" s="123" t="n">
        <v>432</v>
      </c>
      <c r="G84" s="124" t="inlineStr">
        <is>
          <t xml:space="preserve"> İştiraklere Borçlar</t>
        </is>
      </c>
      <c r="H84" s="112"/>
      <c r="I84" s="113"/>
    </row>
    <row r="85">
      <c r="B85" s="106" t="n"/>
      <c r="C85" s="125" t="inlineStr">
        <is>
          <t xml:space="preserve"> Düşüklüğü Karşılığı (-)</t>
        </is>
      </c>
      <c r="D85" s="112"/>
      <c r="E85" s="112"/>
      <c r="F85" s="123" t="n">
        <v>433</v>
      </c>
      <c r="G85" s="124" t="inlineStr">
        <is>
          <t xml:space="preserve"> Bağlı Ortaklıklara Borçlar</t>
        </is>
      </c>
      <c r="H85" s="112"/>
      <c r="I85" s="113"/>
    </row>
    <row r="86">
      <c r="B86" s="106" t="n">
        <v>242</v>
      </c>
      <c r="C86" s="125" t="inlineStr">
        <is>
          <t xml:space="preserve"> İştirakler</t>
        </is>
      </c>
      <c r="D86" s="302"/>
      <c r="E86" s="112"/>
      <c r="F86" s="123" t="n">
        <v>436</v>
      </c>
      <c r="G86" s="124" t="inlineStr">
        <is>
          <t xml:space="preserve"> Diğer Çeşitli Borçlar</t>
        </is>
      </c>
      <c r="H86" s="112"/>
      <c r="I86" s="113"/>
    </row>
    <row r="87">
      <c r="B87" s="106" t="n">
        <v>243</v>
      </c>
      <c r="C87" s="125" t="inlineStr">
        <is>
          <t xml:space="preserve"> İştiraklere Sermaye Taahhütleri (-)</t>
        </is>
      </c>
      <c r="D87" s="112"/>
      <c r="E87" s="112"/>
      <c r="F87" s="123" t="n">
        <v>437</v>
      </c>
      <c r="G87" s="124" t="inlineStr">
        <is>
          <t xml:space="preserve"> Diğer Borç Senetleri Reeskontu (-)</t>
        </is>
      </c>
      <c r="H87" s="112"/>
      <c r="I87" s="113"/>
    </row>
    <row r="88">
      <c r="B88" s="106" t="n">
        <v>244</v>
      </c>
      <c r="C88" s="125" t="inlineStr">
        <is>
          <t xml:space="preserve"> İştirakler Sermaye Payları Değer</t>
        </is>
      </c>
      <c r="D88" s="112"/>
      <c r="E88" s="112"/>
      <c r="F88" s="123" t="n">
        <v>438</v>
      </c>
      <c r="G88" s="124" t="inlineStr">
        <is>
          <t xml:space="preserve"> Kamuya Olan Ert. veya Taksitl. Borçlar</t>
        </is>
      </c>
      <c r="H88" s="316"/>
      <c r="I88" s="315"/>
    </row>
    <row r="89">
      <c r="B89" s="106" t="n"/>
      <c r="C89" s="125" t="inlineStr">
        <is>
          <t xml:space="preserve"> Değer Düşüklüğü Karşılığı (-)</t>
        </is>
      </c>
      <c r="D89" s="112"/>
      <c r="E89" s="112"/>
      <c r="F89" s="126" t="n">
        <v>44</v>
      </c>
      <c r="G89" s="115" t="inlineStr">
        <is>
          <t>Alınan Avanslar</t>
        </is>
      </c>
      <c r="H89" s="110">
        <f>SUM(H90:H91)</f>
        <v/>
      </c>
      <c r="I89" s="111">
        <f>SUM(I90:I91)</f>
        <v/>
      </c>
    </row>
    <row r="90">
      <c r="B90" s="106" t="n">
        <v>245</v>
      </c>
      <c r="C90" s="125" t="inlineStr">
        <is>
          <t xml:space="preserve"> Bağlı Ortaklıklar</t>
        </is>
      </c>
      <c r="D90" s="112"/>
      <c r="E90" s="112"/>
      <c r="F90" s="123" t="n">
        <v>440</v>
      </c>
      <c r="G90" s="124" t="inlineStr">
        <is>
          <t xml:space="preserve"> Alınan Sipariş Avansları</t>
        </is>
      </c>
      <c r="H90" s="110"/>
      <c r="I90" s="111"/>
    </row>
    <row r="91">
      <c r="B91" s="106" t="n">
        <v>246</v>
      </c>
      <c r="C91" s="125" t="inlineStr">
        <is>
          <t xml:space="preserve"> Bağlı Ortaklıklara Sermaye</t>
        </is>
      </c>
      <c r="D91" s="112"/>
      <c r="E91" s="112"/>
      <c r="F91" s="123" t="n">
        <v>449</v>
      </c>
      <c r="G91" s="124" t="inlineStr">
        <is>
          <t xml:space="preserve"> Alınan Diğer Avanslar</t>
        </is>
      </c>
      <c r="H91" s="110"/>
      <c r="I91" s="111"/>
    </row>
    <row r="92">
      <c r="B92" s="106" t="n"/>
      <c r="C92" s="125" t="inlineStr">
        <is>
          <t xml:space="preserve"> Taahhütleri (-)</t>
        </is>
      </c>
      <c r="D92" s="112"/>
      <c r="E92" s="112"/>
      <c r="F92" s="126" t="n">
        <v>47</v>
      </c>
      <c r="G92" s="115" t="inlineStr">
        <is>
          <t>Borç ve Gider Karşılıkları</t>
        </is>
      </c>
      <c r="H92" s="110">
        <f>SUM(H93:H94)</f>
        <v/>
      </c>
      <c r="I92" s="111">
        <f>SUM(I93:I94)</f>
        <v/>
      </c>
    </row>
    <row r="93">
      <c r="B93" s="106" t="n">
        <v>247</v>
      </c>
      <c r="C93" s="125" t="inlineStr">
        <is>
          <t xml:space="preserve"> Bağlı Ortaklıklar Sermaye Payları</t>
        </is>
      </c>
      <c r="D93" s="112"/>
      <c r="E93" s="112"/>
      <c r="F93" s="123" t="n">
        <v>472</v>
      </c>
      <c r="G93" s="124" t="inlineStr">
        <is>
          <t xml:space="preserve"> Kıdem Tazminatı Karşılıkları</t>
        </is>
      </c>
      <c r="H93" s="112"/>
      <c r="I93" s="113"/>
    </row>
    <row r="94">
      <c r="B94" s="106" t="n"/>
      <c r="C94" s="125" t="inlineStr">
        <is>
          <t xml:space="preserve"> Değer Düşüklüğü Karşılığı (-)</t>
        </is>
      </c>
      <c r="D94" s="112"/>
      <c r="E94" s="112"/>
      <c r="F94" s="123" t="n">
        <v>479</v>
      </c>
      <c r="G94" s="124" t="inlineStr">
        <is>
          <t xml:space="preserve"> Diğer Borç ve Gider Karşılıkları</t>
        </is>
      </c>
      <c r="H94" s="112"/>
      <c r="I94" s="113"/>
    </row>
    <row r="95">
      <c r="B95" s="106" t="n">
        <v>249</v>
      </c>
      <c r="C95" s="125" t="inlineStr">
        <is>
          <t xml:space="preserve"> Diğer Mali Duran Varlıklar Karşılığı (-)</t>
        </is>
      </c>
      <c r="D95" s="112"/>
      <c r="E95" s="112"/>
      <c r="F95" s="126" t="n">
        <v>48</v>
      </c>
      <c r="G95" s="115" t="inlineStr">
        <is>
          <t>Gelecek Yıllara Ait Gelirler ve Gider Tahakkukları</t>
        </is>
      </c>
      <c r="H95" s="110">
        <f>SUM(H97:H98)</f>
        <v/>
      </c>
      <c r="I95" s="111">
        <f>SUM(I97:I98)</f>
        <v/>
      </c>
    </row>
    <row r="96">
      <c r="B96" s="116" t="n">
        <v>25</v>
      </c>
      <c r="C96" s="102" t="inlineStr">
        <is>
          <t>Maddi Duran Varlıklar</t>
        </is>
      </c>
      <c r="D96" s="110">
        <f>SUM(D97,D98,D99,D100,D101,D102,D103,-D104,D105,D106)</f>
        <v/>
      </c>
      <c r="E96" s="110">
        <f>SUM(E97,E98,E99,E100,E101,E102,E103,-E104,E105,E106)</f>
        <v/>
      </c>
      <c r="F96" s="126" t="n"/>
      <c r="G96" s="115" t="inlineStr">
        <is>
          <t>Gider Tahakkukları</t>
        </is>
      </c>
      <c r="H96" s="110"/>
      <c r="I96" s="113"/>
    </row>
    <row r="97">
      <c r="B97" s="106" t="n">
        <v>250</v>
      </c>
      <c r="C97" s="125" t="inlineStr">
        <is>
          <t xml:space="preserve"> Arazi ve Arsalar</t>
        </is>
      </c>
      <c r="D97" s="112"/>
      <c r="E97" s="112"/>
      <c r="F97" s="123" t="n">
        <v>480</v>
      </c>
      <c r="G97" s="124" t="inlineStr">
        <is>
          <t xml:space="preserve"> Gelecek Yıllara Ait Gelirler</t>
        </is>
      </c>
      <c r="H97" s="107"/>
      <c r="I97" s="117"/>
    </row>
    <row r="98">
      <c r="B98" s="106" t="n">
        <v>251</v>
      </c>
      <c r="C98" s="125" t="inlineStr">
        <is>
          <t xml:space="preserve"> Yeraltı ve Yerüstü Düzenleri</t>
        </is>
      </c>
      <c r="D98" s="112"/>
      <c r="E98" s="112"/>
      <c r="F98" s="123" t="n">
        <v>481</v>
      </c>
      <c r="G98" s="124" t="inlineStr">
        <is>
          <t xml:space="preserve"> Gider Tahakkukları</t>
        </is>
      </c>
      <c r="H98" s="112"/>
      <c r="I98" s="315"/>
    </row>
    <row r="99">
      <c r="B99" s="106" t="n">
        <v>252</v>
      </c>
      <c r="C99" s="125" t="inlineStr">
        <is>
          <t xml:space="preserve"> Binalar</t>
        </is>
      </c>
      <c r="D99" s="112">
        <v>4500000.0</v>
      </c>
      <c r="E99" s="316">
        <v>4500000.0</v>
      </c>
      <c r="F99" s="126" t="n">
        <v>49</v>
      </c>
      <c r="G99" s="115" t="inlineStr">
        <is>
          <t>Diğer Uzun Vadeli Yabancı Kaynaklar</t>
        </is>
      </c>
      <c r="H99" s="110">
        <f>SUM(H100:H103)</f>
        <v/>
      </c>
      <c r="I99" s="111">
        <f>SUM(I100:I103)</f>
        <v/>
      </c>
    </row>
    <row r="100">
      <c r="B100" s="106" t="n">
        <v>253</v>
      </c>
      <c r="C100" s="125" t="inlineStr">
        <is>
          <t xml:space="preserve"> Tesis, Makine ve Cihazlar</t>
        </is>
      </c>
      <c r="D100" s="112">
        <v>3600000.0</v>
      </c>
      <c r="E100" s="316">
        <v>3600000.0</v>
      </c>
      <c r="F100" s="123" t="n">
        <v>492</v>
      </c>
      <c r="G100" s="124" t="inlineStr">
        <is>
          <t xml:space="preserve"> Gelecek Yıllara Eklenen veya</t>
        </is>
      </c>
      <c r="H100" s="112"/>
      <c r="I100" s="113"/>
    </row>
    <row r="101">
      <c r="B101" s="106" t="n">
        <v>254</v>
      </c>
      <c r="C101" s="125" t="inlineStr">
        <is>
          <t xml:space="preserve"> Taşıtlar</t>
        </is>
      </c>
      <c r="D101" s="112">
        <v>1900000.0</v>
      </c>
      <c r="E101" s="316">
        <v>1900000.0</v>
      </c>
      <c r="F101" s="123" t="n"/>
      <c r="G101" s="124" t="inlineStr">
        <is>
          <t xml:space="preserve"> Terkin Edilen KDV</t>
        </is>
      </c>
      <c r="H101" s="112"/>
      <c r="I101" s="113"/>
    </row>
    <row r="102">
      <c r="B102" s="106" t="n">
        <v>255</v>
      </c>
      <c r="C102" s="125" t="inlineStr">
        <is>
          <t xml:space="preserve"> Demirbaşlar</t>
        </is>
      </c>
      <c r="D102" s="112">
        <v>680000.0</v>
      </c>
      <c r="E102" s="316">
        <v>680000.0</v>
      </c>
      <c r="F102" s="123" t="n">
        <v>493</v>
      </c>
      <c r="G102" s="124" t="inlineStr">
        <is>
          <t xml:space="preserve"> Tesise Katılma Payları</t>
        </is>
      </c>
      <c r="H102" s="112"/>
      <c r="I102" s="113"/>
    </row>
    <row r="103">
      <c r="B103" s="106" t="n">
        <v>256</v>
      </c>
      <c r="C103" s="125" t="inlineStr">
        <is>
          <t xml:space="preserve"> Diğer Maddi Duran Varlıklar</t>
        </is>
      </c>
      <c r="D103" s="112"/>
      <c r="E103" s="316"/>
      <c r="F103" s="123" t="n">
        <v>499</v>
      </c>
      <c r="G103" s="124" t="inlineStr">
        <is>
          <t xml:space="preserve"> Diğer Çeşitli Uzun Vadeli Yabancı Kay.</t>
        </is>
      </c>
      <c r="H103" s="112"/>
      <c r="I103" s="113"/>
    </row>
    <row r="104">
      <c r="B104" s="106" t="n">
        <v>257</v>
      </c>
      <c r="C104" s="125" t="inlineStr">
        <is>
          <t xml:space="preserve"> Birikmiş Amortismanlar (-)</t>
        </is>
      </c>
      <c r="D104" s="112">
        <v>3150000.0</v>
      </c>
      <c r="E104" s="316">
        <v>3150000.0</v>
      </c>
      <c r="F104" s="123" t="n"/>
      <c r="G104" s="115" t="n"/>
      <c r="H104" s="110"/>
      <c r="I104" s="111"/>
    </row>
    <row r="105">
      <c r="B105" s="106" t="n">
        <v>258</v>
      </c>
      <c r="C105" s="125" t="inlineStr">
        <is>
          <t xml:space="preserve"> Yapılmakta Olan Yatırımlar</t>
        </is>
      </c>
      <c r="D105" s="112"/>
      <c r="E105" s="112"/>
      <c r="F105" s="123" t="n"/>
      <c r="G105" s="115" t="n"/>
      <c r="H105" s="317"/>
      <c r="I105" s="111"/>
    </row>
    <row r="106" ht="13.5" customHeight="1" thickBot="1">
      <c r="B106" s="106" t="n">
        <v>259</v>
      </c>
      <c r="C106" s="125" t="inlineStr">
        <is>
          <t xml:space="preserve"> Verilen Avanslar</t>
        </is>
      </c>
      <c r="D106" s="112"/>
      <c r="E106" s="112"/>
      <c r="F106" s="127" t="n">
        <v>5</v>
      </c>
      <c r="G106" s="92" t="inlineStr">
        <is>
          <t>ÖZKAYNAKLAR</t>
        </is>
      </c>
      <c r="H106" s="93">
        <f>SUM(H107+H112+H119+H125-H127+H129)</f>
        <v/>
      </c>
      <c r="I106" s="128">
        <f>SUM(I107+I112+I119+I125-I127+I129)</f>
        <v/>
      </c>
    </row>
    <row r="107">
      <c r="B107" s="116" t="n">
        <v>26</v>
      </c>
      <c r="C107" s="102" t="inlineStr">
        <is>
          <t>Maddi Olmayan Duran Varlıklar</t>
        </is>
      </c>
      <c r="D107" s="110">
        <f>SUM(D108,D109,D110,D111,D112,D113,-D114,D115)</f>
        <v/>
      </c>
      <c r="E107" s="110">
        <f>SUM(E108,E109,E110,E111,E112,E113,-E114,E115)</f>
        <v/>
      </c>
      <c r="F107" s="129" t="n">
        <v>50</v>
      </c>
      <c r="G107" s="99" t="inlineStr">
        <is>
          <t>Ödenmiş Sermaye</t>
        </is>
      </c>
      <c r="H107" s="100">
        <f>SUM(H108,-H109,H110,-H111)</f>
        <v/>
      </c>
      <c r="I107" s="130">
        <f>SUM(I108,-I109,I110,-I111)</f>
        <v/>
      </c>
    </row>
    <row r="108">
      <c r="B108" s="106" t="n">
        <v>260</v>
      </c>
      <c r="C108" s="125" t="inlineStr">
        <is>
          <t xml:space="preserve"> Haklar</t>
        </is>
      </c>
      <c r="D108" s="112">
        <v>120000.0</v>
      </c>
      <c r="E108" s="316">
        <v>120000.0</v>
      </c>
      <c r="F108" s="123" t="n">
        <v>500</v>
      </c>
      <c r="G108" s="124" t="inlineStr">
        <is>
          <t xml:space="preserve"> Sermaye</t>
        </is>
      </c>
      <c r="H108" s="386">
        <v>5000000.0</v>
      </c>
      <c r="I108" s="316">
        <v>5000000.0</v>
      </c>
    </row>
    <row r="109">
      <c r="B109" s="106" t="n">
        <v>261</v>
      </c>
      <c r="C109" s="125" t="inlineStr">
        <is>
          <t xml:space="preserve"> Şerefiye</t>
        </is>
      </c>
      <c r="D109" s="112"/>
      <c r="E109" s="316"/>
      <c r="F109" s="123" t="n">
        <v>501</v>
      </c>
      <c r="G109" s="124" t="inlineStr">
        <is>
          <t xml:space="preserve"> Ödenmemiş Sermaye (-)</t>
        </is>
      </c>
      <c r="H109" s="113"/>
      <c r="I109" s="316"/>
    </row>
    <row r="110">
      <c r="B110" s="106" t="n">
        <v>262</v>
      </c>
      <c r="C110" s="125" t="inlineStr">
        <is>
          <t xml:space="preserve"> Kuruluş ve Örgütleme Giderleri</t>
        </is>
      </c>
      <c r="D110" s="112"/>
      <c r="E110" s="316"/>
      <c r="F110" s="123" t="n">
        <v>502</v>
      </c>
      <c r="G110" s="124" t="inlineStr">
        <is>
          <t xml:space="preserve"> Sermaye Düzeltmesi Olumlu Farkları</t>
        </is>
      </c>
      <c r="H110" s="113"/>
      <c r="I110" s="316"/>
    </row>
    <row r="111">
      <c r="B111" s="106" t="n">
        <v>263</v>
      </c>
      <c r="C111" s="125" t="inlineStr">
        <is>
          <t xml:space="preserve"> Araştırma ve Geliştirme Giderleri</t>
        </is>
      </c>
      <c r="D111" s="112"/>
      <c r="E111" s="316"/>
      <c r="F111" s="123" t="n">
        <v>503</v>
      </c>
      <c r="G111" s="124" t="inlineStr">
        <is>
          <t xml:space="preserve"> Sermaye Düzeltmesi Olumsuz Farkları (-)</t>
        </is>
      </c>
      <c r="H111" s="112"/>
      <c r="I111" s="113"/>
    </row>
    <row r="112">
      <c r="B112" s="106" t="n">
        <v>264</v>
      </c>
      <c r="C112" s="125" t="inlineStr">
        <is>
          <t xml:space="preserve"> Özel Maliyetler</t>
        </is>
      </c>
      <c r="D112" s="112"/>
      <c r="E112" s="316"/>
      <c r="F112" s="126" t="n">
        <v>52</v>
      </c>
      <c r="G112" s="115" t="inlineStr">
        <is>
          <t>Sermaye Yedekleri</t>
        </is>
      </c>
      <c r="H112" s="110">
        <f>SUM(H113:H118)</f>
        <v/>
      </c>
      <c r="I112" s="111">
        <f>SUM(I113:I118)</f>
        <v/>
      </c>
    </row>
    <row r="113">
      <c r="B113" s="106" t="n">
        <v>267</v>
      </c>
      <c r="C113" s="125" t="inlineStr">
        <is>
          <t xml:space="preserve"> Diğer Maddi Olmayan Duran Varlıklar</t>
        </is>
      </c>
      <c r="D113" s="112"/>
      <c r="E113" s="316"/>
      <c r="F113" s="123" t="n">
        <v>520</v>
      </c>
      <c r="G113" s="124" t="inlineStr">
        <is>
          <t xml:space="preserve"> Hisse Senedi İhraç Primleri</t>
        </is>
      </c>
      <c r="H113" s="112"/>
      <c r="I113" s="113"/>
    </row>
    <row r="114">
      <c r="B114" s="106" t="n">
        <v>268</v>
      </c>
      <c r="C114" s="122" t="inlineStr">
        <is>
          <t xml:space="preserve"> Birikmiş Amortismanlar (-)</t>
        </is>
      </c>
      <c r="D114" s="112">
        <v>48000.0</v>
      </c>
      <c r="E114" s="316">
        <v>48000.0</v>
      </c>
      <c r="F114" s="123" t="n">
        <v>521</v>
      </c>
      <c r="G114" s="124" t="inlineStr">
        <is>
          <t xml:space="preserve"> Hisse Senedi İptal Kararları</t>
        </is>
      </c>
      <c r="H114" s="112"/>
      <c r="I114" s="113"/>
    </row>
    <row r="115">
      <c r="B115" s="106" t="n">
        <v>269</v>
      </c>
      <c r="C115" s="122" t="inlineStr">
        <is>
          <t xml:space="preserve"> Verilen Avanslar</t>
        </is>
      </c>
      <c r="D115" s="112"/>
      <c r="E115" s="112"/>
      <c r="F115" s="123" t="n">
        <v>522</v>
      </c>
      <c r="G115" s="124" t="inlineStr">
        <is>
          <t xml:space="preserve"> M.D.V. Yeniden Değerleme Artışları</t>
        </is>
      </c>
      <c r="H115" s="112"/>
      <c r="I115" s="113"/>
    </row>
    <row r="116">
      <c r="B116" s="116" t="n">
        <v>27</v>
      </c>
      <c r="C116" s="102" t="inlineStr">
        <is>
          <t>Özel Tükenmeye Tabi Varlıklar</t>
        </is>
      </c>
      <c r="D116" s="110">
        <f>SUM(D117,D118,D119,-D120,D121)</f>
        <v/>
      </c>
      <c r="E116" s="110">
        <f>SUM(E117,E118,E119,-E120,E121)</f>
        <v/>
      </c>
      <c r="F116" s="123" t="n">
        <v>523</v>
      </c>
      <c r="G116" s="124" t="inlineStr">
        <is>
          <t xml:space="preserve"> İştirakler Yeniden Değerleme Artışları</t>
        </is>
      </c>
      <c r="H116" s="112"/>
      <c r="I116" s="113"/>
    </row>
    <row r="117">
      <c r="B117" s="106" t="n">
        <v>271</v>
      </c>
      <c r="C117" s="125" t="inlineStr">
        <is>
          <t xml:space="preserve"> Arama Giderleri</t>
        </is>
      </c>
      <c r="D117" s="112"/>
      <c r="E117" s="112"/>
      <c r="F117" s="123" t="n">
        <v>525</v>
      </c>
      <c r="G117" s="124" t="inlineStr">
        <is>
          <t xml:space="preserve"> Kayda Alınan Emtia</t>
        </is>
      </c>
      <c r="H117" s="112"/>
      <c r="I117" s="113"/>
    </row>
    <row r="118">
      <c r="B118" s="106" t="n">
        <v>272</v>
      </c>
      <c r="C118" s="125" t="inlineStr">
        <is>
          <t xml:space="preserve"> Hazırlık ve Geliştirme Giderleri</t>
        </is>
      </c>
      <c r="D118" s="112"/>
      <c r="E118" s="112"/>
      <c r="F118" s="123" t="n">
        <v>529</v>
      </c>
      <c r="G118" s="124" t="inlineStr">
        <is>
          <t xml:space="preserve"> Diğer Sermaye Yedekleri</t>
        </is>
      </c>
      <c r="H118" s="316"/>
      <c r="I118" s="372"/>
    </row>
    <row r="119">
      <c r="B119" s="106" t="n">
        <v>277</v>
      </c>
      <c r="C119" s="125" t="inlineStr">
        <is>
          <t xml:space="preserve"> Diğer Özel Tükenmeye Tabi Varlıklar</t>
        </is>
      </c>
      <c r="D119" s="112"/>
      <c r="E119" s="112"/>
      <c r="F119" s="126" t="n">
        <v>54</v>
      </c>
      <c r="G119" s="115" t="inlineStr">
        <is>
          <t>Kar Yedekleri</t>
        </is>
      </c>
      <c r="H119" s="110">
        <f>SUM(H120:H124)</f>
        <v/>
      </c>
      <c r="I119" s="111">
        <f>SUM(I120:I124)</f>
        <v/>
      </c>
    </row>
    <row r="120">
      <c r="B120" s="106" t="n">
        <v>278</v>
      </c>
      <c r="C120" s="125" t="inlineStr">
        <is>
          <t xml:space="preserve"> Birikmiş Tükenme Payları (-)</t>
        </is>
      </c>
      <c r="D120" s="112"/>
      <c r="E120" s="112"/>
      <c r="F120" s="123" t="n">
        <v>540</v>
      </c>
      <c r="G120" s="124" t="inlineStr">
        <is>
          <t xml:space="preserve"> Yasal Yedekler</t>
        </is>
      </c>
      <c r="H120" s="113">
        <v>450000.0</v>
      </c>
      <c r="I120" s="316">
        <v>450000.0</v>
      </c>
    </row>
    <row r="121">
      <c r="B121" s="106" t="n">
        <v>279</v>
      </c>
      <c r="C121" s="125" t="inlineStr">
        <is>
          <t xml:space="preserve"> Verilen Avanslar</t>
        </is>
      </c>
      <c r="D121" s="112"/>
      <c r="E121" s="112"/>
      <c r="F121" s="123" t="n">
        <v>541</v>
      </c>
      <c r="G121" s="124" t="inlineStr">
        <is>
          <t xml:space="preserve"> Statü Yedekleri</t>
        </is>
      </c>
      <c r="H121" s="318"/>
      <c r="I121" s="316"/>
    </row>
    <row r="122">
      <c r="B122" s="116" t="n">
        <v>28</v>
      </c>
      <c r="C122" s="102" t="inlineStr">
        <is>
          <t xml:space="preserve">Gelecek Yıllara Ait Giderler ve </t>
        </is>
      </c>
      <c r="D122" s="110">
        <f>SUM(D124:D125)</f>
        <v/>
      </c>
      <c r="E122" s="110">
        <f>SUM(E124:E125)</f>
        <v/>
      </c>
      <c r="F122" s="123" t="n">
        <v>542</v>
      </c>
      <c r="G122" s="124" t="inlineStr">
        <is>
          <t xml:space="preserve"> Olağanüstü Yedekler</t>
        </is>
      </c>
      <c r="H122" s="318"/>
      <c r="I122" s="316"/>
    </row>
    <row r="123">
      <c r="B123" s="106" t="n"/>
      <c r="C123" s="102" t="inlineStr">
        <is>
          <t>Gelir Tahakkukları</t>
        </is>
      </c>
      <c r="D123" s="110"/>
      <c r="E123" s="110"/>
      <c r="F123" s="123" t="n">
        <v>548</v>
      </c>
      <c r="G123" s="124" t="inlineStr">
        <is>
          <t xml:space="preserve"> Diğer Kar Yedekleri</t>
        </is>
      </c>
      <c r="H123" s="318"/>
      <c r="I123" s="318"/>
    </row>
    <row r="124">
      <c r="B124" s="106" t="n">
        <v>280</v>
      </c>
      <c r="C124" s="125" t="inlineStr">
        <is>
          <t xml:space="preserve"> Gelecek Yıllara Ait Giderler</t>
        </is>
      </c>
      <c r="D124" s="296"/>
      <c r="E124" s="316"/>
      <c r="F124" s="123" t="n">
        <v>549</v>
      </c>
      <c r="G124" s="124" t="inlineStr">
        <is>
          <t xml:space="preserve"> Özel Fonlar</t>
        </is>
      </c>
      <c r="H124" s="318"/>
      <c r="I124" s="318"/>
    </row>
    <row r="125">
      <c r="B125" s="106" t="n">
        <v>281</v>
      </c>
      <c r="C125" s="125" t="inlineStr">
        <is>
          <t xml:space="preserve"> Gelir Tahakkukları</t>
        </is>
      </c>
      <c r="D125" s="112"/>
      <c r="E125" s="316"/>
      <c r="F125" s="126" t="n">
        <v>57</v>
      </c>
      <c r="G125" s="115" t="inlineStr">
        <is>
          <t>Geçmiş Yıllar Karları</t>
        </is>
      </c>
      <c r="H125" s="110">
        <f>+H126</f>
        <v/>
      </c>
      <c r="I125" s="111">
        <f>+I126</f>
        <v/>
      </c>
    </row>
    <row r="126">
      <c r="B126" s="116" t="n">
        <v>29</v>
      </c>
      <c r="C126" s="102" t="inlineStr">
        <is>
          <t>Diğer Duran Varlıklar</t>
        </is>
      </c>
      <c r="D126" s="110">
        <f>SUM(D127,D128,D129,D130,D131,D132,-D133,-D134)</f>
        <v/>
      </c>
      <c r="E126" s="384">
        <f>E127+E128+E129+E130+E131+E132</f>
        <v/>
      </c>
      <c r="F126" s="123" t="n">
        <v>570</v>
      </c>
      <c r="G126" s="124" t="inlineStr">
        <is>
          <t xml:space="preserve"> Geçmiş Yıllar Karları</t>
        </is>
      </c>
      <c r="H126" s="316">
        <v>1200000.0</v>
      </c>
      <c r="I126" s="316">
        <v>1200000.0</v>
      </c>
    </row>
    <row r="127">
      <c r="B127" s="106" t="n">
        <v>291</v>
      </c>
      <c r="C127" s="125" t="inlineStr">
        <is>
          <t xml:space="preserve"> Gelecek Yıllarda İndirilecek KDV</t>
        </is>
      </c>
      <c r="D127" s="112"/>
      <c r="E127" s="112"/>
      <c r="F127" s="126" t="n">
        <v>58</v>
      </c>
      <c r="G127" s="115" t="inlineStr">
        <is>
          <t>Geçmiş Yıllar Zararları (-)</t>
        </is>
      </c>
      <c r="H127" s="110">
        <f>+H128</f>
        <v/>
      </c>
      <c r="I127" s="111">
        <f>+I128</f>
        <v/>
      </c>
    </row>
    <row r="128">
      <c r="B128" s="106" t="n">
        <v>292</v>
      </c>
      <c r="C128" s="125" t="inlineStr">
        <is>
          <t xml:space="preserve"> Diğer KDV</t>
        </is>
      </c>
      <c r="D128" s="112"/>
      <c r="E128" s="112"/>
      <c r="F128" s="123" t="n">
        <v>580</v>
      </c>
      <c r="G128" s="124" t="inlineStr">
        <is>
          <t xml:space="preserve"> Geçmiş Yıllar Zararları (-)</t>
        </is>
      </c>
      <c r="H128" s="107"/>
      <c r="I128" s="117"/>
    </row>
    <row r="129">
      <c r="B129" s="106" t="n">
        <v>293</v>
      </c>
      <c r="C129" s="125" t="inlineStr">
        <is>
          <t xml:space="preserve"> Gelecek Yılalr İhtiyacı Stoklar</t>
        </is>
      </c>
      <c r="D129" s="112"/>
      <c r="E129" s="112"/>
      <c r="F129" s="126" t="n">
        <v>59</v>
      </c>
      <c r="G129" s="115" t="inlineStr">
        <is>
          <t>Dönem Net Karı (Zararı)</t>
        </is>
      </c>
      <c r="H129" s="110">
        <f>SUM(H130,+H131)</f>
        <v/>
      </c>
      <c r="I129" s="111">
        <f>SUM(I130,+I131)</f>
        <v/>
      </c>
    </row>
    <row r="130">
      <c r="B130" s="106" t="n">
        <v>294</v>
      </c>
      <c r="C130" s="125" t="inlineStr">
        <is>
          <t xml:space="preserve"> Elden Çıkarılacak Stoklar Ve Mad.D.V.</t>
        </is>
      </c>
      <c r="D130" s="112"/>
      <c r="E130" s="112"/>
      <c r="F130" s="123" t="n">
        <v>590</v>
      </c>
      <c r="G130" s="124" t="inlineStr">
        <is>
          <t xml:space="preserve"> Dönem Net Karı </t>
        </is>
      </c>
      <c r="H130" s="318">
        <v>982000.0</v>
      </c>
      <c r="I130" s="316">
        <v>9532000.0</v>
      </c>
    </row>
    <row r="131">
      <c r="B131" s="106" t="n">
        <v>295</v>
      </c>
      <c r="C131" s="125" t="inlineStr">
        <is>
          <t xml:space="preserve"> Peşin Ödenen Vergi Ve Fonlar</t>
        </is>
      </c>
      <c r="D131" s="112"/>
      <c r="E131" s="316"/>
      <c r="F131" s="123" t="n">
        <v>591</v>
      </c>
      <c r="G131" s="124" t="inlineStr">
        <is>
          <t xml:space="preserve"> Dönem Net Zararı (-)</t>
        </is>
      </c>
      <c r="H131" s="107"/>
      <c r="I131" s="113"/>
    </row>
    <row r="132">
      <c r="B132" s="106" t="n">
        <v>296</v>
      </c>
      <c r="C132" s="125" t="inlineStr">
        <is>
          <t xml:space="preserve"> Geçici Hesap</t>
        </is>
      </c>
      <c r="D132" s="302"/>
      <c r="E132" s="112"/>
      <c r="F132" s="123" t="n"/>
      <c r="G132" s="124" t="n"/>
      <c r="H132" s="112" t="n"/>
      <c r="I132" s="113" t="n"/>
    </row>
    <row r="133">
      <c r="B133" s="106" t="n">
        <v>298</v>
      </c>
      <c r="C133" s="125" t="inlineStr">
        <is>
          <t xml:space="preserve"> Stok Değer Düşüklüğü Karşılığı (-)</t>
        </is>
      </c>
      <c r="D133" s="112"/>
      <c r="E133" s="112"/>
      <c r="F133" s="123" t="n"/>
      <c r="G133" s="124" t="n"/>
      <c r="H133" s="112" t="n"/>
      <c r="I133" s="113" t="n"/>
    </row>
    <row r="134" ht="13.5" customHeight="1" thickBot="1">
      <c r="B134" s="131" t="n">
        <v>299</v>
      </c>
      <c r="C134" s="132" t="inlineStr">
        <is>
          <t xml:space="preserve"> Birikmiş Amortismanlar (-)</t>
        </is>
      </c>
      <c r="D134" s="133"/>
      <c r="E134" s="133"/>
      <c r="F134" s="134" t="n"/>
      <c r="G134" s="135" t="n"/>
      <c r="H134" s="136" t="n"/>
      <c r="I134" s="137" t="n"/>
    </row>
    <row r="135" ht="13.5" customHeight="1" thickBot="1">
      <c r="B135" s="138" t="n"/>
      <c r="C135" s="139" t="n"/>
      <c r="D135" s="140" t="n"/>
      <c r="E135" s="140" t="n"/>
      <c r="F135" s="141" t="n"/>
      <c r="G135" s="141" t="n"/>
      <c r="H135" s="140" t="n"/>
      <c r="I135" s="140" t="n"/>
    </row>
    <row r="136" ht="13.5" customHeight="1" thickBot="1">
      <c r="B136" s="80" t="n"/>
      <c r="C136" s="115" t="inlineStr">
        <is>
          <t>DÖNEN VARLIKLAR TOPLAMI</t>
        </is>
      </c>
      <c r="D136" s="142">
        <f>D8</f>
        <v/>
      </c>
      <c r="E136" s="142">
        <f>E8</f>
        <v/>
      </c>
      <c r="F136" s="124" t="n"/>
      <c r="G136" s="115" t="inlineStr">
        <is>
          <t>YABANCI KAYNAKLAR TOPLAMI</t>
        </is>
      </c>
      <c r="H136" s="143">
        <f>H8+H66</f>
        <v/>
      </c>
      <c r="I136" s="144">
        <f>I8+I66</f>
        <v/>
      </c>
    </row>
    <row r="137" ht="13.5" customHeight="1" thickBot="1">
      <c r="B137" s="80" t="n"/>
      <c r="C137" s="79" t="n"/>
      <c r="D137" s="145" t="n"/>
      <c r="E137" s="145" t="n"/>
      <c r="F137" s="124" t="n"/>
      <c r="G137" s="124" t="n"/>
      <c r="H137" s="145" t="n"/>
      <c r="I137" s="145" t="n"/>
    </row>
    <row r="138" ht="13.5" customHeight="1" thickBot="1">
      <c r="B138" s="80" t="n"/>
      <c r="C138" s="115" t="inlineStr">
        <is>
          <t>DURAN VARLIKLAR TOPLAMI</t>
        </is>
      </c>
      <c r="D138" s="142">
        <f>D66</f>
        <v/>
      </c>
      <c r="E138" s="142">
        <f>E66</f>
        <v/>
      </c>
      <c r="F138" s="115" t="n"/>
      <c r="G138" s="115" t="inlineStr">
        <is>
          <t>ÖZKAYNAKLAR TOPLAMI</t>
        </is>
      </c>
      <c r="H138" s="143">
        <f>H106</f>
        <v/>
      </c>
      <c r="I138" s="144">
        <f>I106</f>
        <v/>
      </c>
    </row>
    <row r="139" ht="13.5" customHeight="1" thickBot="1">
      <c r="B139" s="80" t="n"/>
      <c r="C139" s="102" t="n"/>
      <c r="D139" s="146" t="n"/>
      <c r="E139" s="146" t="n"/>
      <c r="F139" s="115" t="n"/>
      <c r="G139" s="115" t="n"/>
      <c r="H139" s="146" t="n"/>
      <c r="I139" s="146" t="n"/>
    </row>
    <row r="140" ht="13.5" customHeight="1" thickBot="1">
      <c r="B140" s="80" t="n"/>
      <c r="C140" s="147" t="inlineStr">
        <is>
          <t>AKTİF (VARLIKLAR) TOPLAMI</t>
        </is>
      </c>
      <c r="D140" s="143">
        <f>D136+D138</f>
        <v/>
      </c>
      <c r="E140" s="143">
        <f>E136+E138</f>
        <v/>
      </c>
      <c r="F140" s="115" t="n"/>
      <c r="G140" s="148" t="inlineStr">
        <is>
          <t>PASİF KAYNAKLAR TOPLAMI</t>
        </is>
      </c>
      <c r="H140" s="143">
        <f>H136+H138</f>
        <v/>
      </c>
      <c r="I140" s="144">
        <f>I136+I138</f>
        <v/>
      </c>
      <c r="J140" s="105" t="n"/>
    </row>
    <row r="141">
      <c r="B141" s="80" t="n"/>
      <c r="C141" s="79" t="n"/>
      <c r="D141" s="145" t="n"/>
      <c r="E141" s="145" t="n"/>
      <c r="F141" s="80" t="n"/>
      <c r="G141" s="79" t="n"/>
      <c r="H141" s="108" t="n"/>
      <c r="I141" s="108" t="n"/>
    </row>
    <row r="142">
      <c r="G142" s="105" t="n"/>
      <c r="H142" s="105" t="n"/>
      <c r="I142" s="105" t="n"/>
    </row>
    <row r="143">
      <c r="G143" s="105" t="n"/>
      <c r="H143" s="105" t="n"/>
      <c r="I143" s="105" t="n"/>
    </row>
    <row r="144">
      <c r="H144" s="105" t="n"/>
      <c r="I144" s="105" t="n"/>
    </row>
    <row r="145">
      <c r="I145" s="456" t="n"/>
      <c r="L145" s="467" t="n"/>
    </row>
    <row r="146">
      <c r="D146" s="105" t="n"/>
      <c r="H146" s="105" t="n"/>
      <c r="I146" s="456" t="n"/>
    </row>
    <row r="150">
      <c r="F150" s="82" t="inlineStr">
        <is>
          <t xml:space="preserve"> </t>
        </is>
      </c>
    </row>
  </sheetData>
  <mergeCells count="3">
    <mergeCell ref="B3:I3"/>
    <mergeCell ref="B5:I5"/>
    <mergeCell ref="B4:I4"/>
  </mergeCells>
  <hyperlinks>
    <hyperlink ref="A1" location="'ANA SAYFA'!A1" display="ANASAYFA"/>
  </hyperlinks>
  <pageMargins left="0.25" right="0.25" top="0.75" bottom="0.75" header="0.3" footer="0.3"/>
  <pageSetup orientation="portrait" paperSize="9" scale="65" fitToHeight="2"/>
  <rowBreaks count="1" manualBreakCount="1">
    <brk id="65" min="0" max="9" man="1"/>
  </rowBreaks>
</worksheet>
</file>

<file path=xl/worksheets/sheet5.xml><?xml version="1.0" encoding="utf-8"?>
<worksheet xmlns="http://schemas.openxmlformats.org/spreadsheetml/2006/main">
  <sheetPr codeName="Sayfa4">
    <tabColor theme="0"/>
    <outlinePr summaryBelow="1" summaryRight="1"/>
    <pageSetUpPr fitToPage="1"/>
  </sheetPr>
  <dimension ref="A1:J70"/>
  <sheetViews>
    <sheetView showGridLines="0" zoomScale="130" zoomScaleNormal="130" workbookViewId="0">
      <pane ySplit="6" topLeftCell="A7" activePane="bottomLeft" state="frozen"/>
      <selection activeCell="E22" sqref="E22"/>
      <selection pane="bottomLeft" activeCell="H18" sqref="H18"/>
    </sheetView>
  </sheetViews>
  <sheetFormatPr baseColWidth="8" defaultColWidth="9.140625" defaultRowHeight="12.75"/>
  <cols>
    <col width="9.140625" bestFit="1" customWidth="1" style="1" min="1" max="1"/>
    <col width="2.7109375" bestFit="1" customWidth="1" style="1" min="2" max="2"/>
    <col width="34.140625" bestFit="1" customWidth="1" style="1" min="3" max="3"/>
    <col width="13.7109375" customWidth="1" style="1" min="4" max="4"/>
    <col width="8.140625" bestFit="1" customWidth="1" style="1" min="5" max="5"/>
    <col width="14.42578125" customWidth="1" style="1" min="6" max="6"/>
    <col width="8.140625" bestFit="1" customWidth="1" style="1" min="7" max="7"/>
    <col width="9.140625" customWidth="1" style="1" min="8" max="9"/>
    <col width="1.140625" bestFit="1" customWidth="1" style="1" min="10" max="10"/>
    <col width="9.140625" customWidth="1" style="1" min="11" max="16384"/>
  </cols>
  <sheetData>
    <row r="1" ht="10.5" customFormat="1" customHeight="1" s="79">
      <c r="A1" s="12" t="inlineStr">
        <is>
          <t>ANASAYFA</t>
        </is>
      </c>
      <c r="G1" s="81" t="inlineStr">
        <is>
          <t>SYF.4</t>
        </is>
      </c>
    </row>
    <row r="2" ht="13.5" customHeight="1" thickBot="1">
      <c r="A2" s="150" t="n"/>
    </row>
    <row r="3">
      <c r="A3" s="150" t="n"/>
      <c r="B3" s="451">
        <f>'ANA SAYFA'!F11</f>
        <v/>
      </c>
      <c r="C3" s="452" t="n"/>
      <c r="D3" s="452" t="n"/>
      <c r="E3" s="452" t="n"/>
      <c r="F3" s="452" t="n"/>
      <c r="G3" s="453" t="n"/>
    </row>
    <row r="4">
      <c r="A4" s="150" t="n"/>
      <c r="B4" s="464" t="inlineStr">
        <is>
          <t xml:space="preserve"> BİLANÇO DİKEY ANALİZİ</t>
        </is>
      </c>
      <c r="G4" s="465" t="n"/>
    </row>
    <row r="5" ht="13.5" customHeight="1" thickBot="1">
      <c r="B5" s="468" t="n"/>
      <c r="C5" s="469" t="n"/>
      <c r="D5" s="469" t="n"/>
      <c r="E5" s="469" t="n"/>
      <c r="F5" s="469" t="n"/>
      <c r="G5" s="470" t="n"/>
    </row>
    <row r="6">
      <c r="B6" s="106" t="n"/>
      <c r="C6" s="125" t="n"/>
      <c r="D6" s="268">
        <f>'GELİR TABLOSU'!C6</f>
        <v/>
      </c>
      <c r="E6" s="151" t="inlineStr">
        <is>
          <t>%</t>
        </is>
      </c>
      <c r="F6" s="268">
        <f>'GELİR TABLOSU'!E6</f>
        <v/>
      </c>
      <c r="G6" s="151" t="inlineStr">
        <is>
          <t>%</t>
        </is>
      </c>
    </row>
    <row r="7" ht="13.5" customHeight="1" thickBot="1">
      <c r="B7" s="91" t="n">
        <v>1</v>
      </c>
      <c r="C7" s="152" t="inlineStr">
        <is>
          <t>DÖNEN VARLIKLAR</t>
        </is>
      </c>
      <c r="D7" s="153">
        <f>SUM(D8+D9+D10+D11+D12+D13+D14+D15)</f>
        <v/>
      </c>
      <c r="E7" s="154">
        <f>D7/D30*100</f>
        <v/>
      </c>
      <c r="F7" s="93">
        <f>SUM(F8+F9+F10+F11+F12+F13+F14+F15)</f>
        <v/>
      </c>
      <c r="G7" s="154">
        <f>F7/F30*100</f>
        <v/>
      </c>
    </row>
    <row r="8" ht="13.5" customHeight="1" thickBot="1">
      <c r="B8" s="155" t="n">
        <v>10</v>
      </c>
      <c r="C8" s="156" t="inlineStr">
        <is>
          <t>Hazır Değerler</t>
        </is>
      </c>
      <c r="D8" s="157">
        <f>BİLANÇO!D9</f>
        <v/>
      </c>
      <c r="E8" s="158">
        <f>D8/D30*100</f>
        <v/>
      </c>
      <c r="F8" s="159">
        <f>BİLANÇO!E9</f>
        <v/>
      </c>
      <c r="G8" s="158">
        <f>F8/F30*100</f>
        <v/>
      </c>
    </row>
    <row r="9" ht="13.5" customHeight="1" thickBot="1">
      <c r="B9" s="155" t="n">
        <v>11</v>
      </c>
      <c r="C9" s="156" t="inlineStr">
        <is>
          <t xml:space="preserve">Menkul Kıymetler </t>
        </is>
      </c>
      <c r="D9" s="157">
        <f>BİLANÇO!D15</f>
        <v/>
      </c>
      <c r="E9" s="158">
        <f>D9/D30*100</f>
        <v/>
      </c>
      <c r="F9" s="159">
        <f>BİLANÇO!E15</f>
        <v/>
      </c>
      <c r="G9" s="158">
        <f>F9/F30*100</f>
        <v/>
      </c>
    </row>
    <row r="10" ht="13.5" customHeight="1" thickBot="1">
      <c r="B10" s="160" t="n">
        <v>12</v>
      </c>
      <c r="C10" s="161" t="inlineStr">
        <is>
          <t>Ticari Alacaklar</t>
        </is>
      </c>
      <c r="D10" s="157">
        <f>BİLANÇO!D22</f>
        <v/>
      </c>
      <c r="E10" s="158">
        <f>D10/D30*100</f>
        <v/>
      </c>
      <c r="F10" s="159">
        <f>BİLANÇO!E22</f>
        <v/>
      </c>
      <c r="G10" s="158">
        <f>F10/F30*100</f>
        <v/>
      </c>
      <c r="J10" s="1" t="inlineStr">
        <is>
          <t xml:space="preserve"> </t>
        </is>
      </c>
    </row>
    <row r="11" ht="13.5" customHeight="1" thickBot="1">
      <c r="B11" s="160" t="n">
        <v>13</v>
      </c>
      <c r="C11" s="161" t="inlineStr">
        <is>
          <t>Diğer Alacaklar</t>
        </is>
      </c>
      <c r="D11" s="157">
        <f>BİLANÇO!D32</f>
        <v/>
      </c>
      <c r="E11" s="158">
        <f>D11/D30*100</f>
        <v/>
      </c>
      <c r="F11" s="159">
        <f>BİLANÇO!E32</f>
        <v/>
      </c>
      <c r="G11" s="158">
        <f>F11/F30*100</f>
        <v/>
      </c>
    </row>
    <row r="12" ht="13.5" customHeight="1" thickBot="1">
      <c r="B12" s="160" t="n">
        <v>15</v>
      </c>
      <c r="C12" s="161" t="inlineStr">
        <is>
          <t>Stoklar</t>
        </is>
      </c>
      <c r="D12" s="157">
        <f>BİLANÇO!D41</f>
        <v/>
      </c>
      <c r="E12" s="158">
        <f>D12/D30*100</f>
        <v/>
      </c>
      <c r="F12" s="159">
        <f>BİLANÇO!E41</f>
        <v/>
      </c>
      <c r="G12" s="158">
        <f>F12/F30*100</f>
        <v/>
      </c>
    </row>
    <row r="13" ht="13.5" customHeight="1" thickBot="1">
      <c r="B13" s="160" t="n">
        <v>17</v>
      </c>
      <c r="C13" s="161" t="inlineStr">
        <is>
          <t>Yıllara Yaygın İnş. Ve On. Mal.</t>
        </is>
      </c>
      <c r="D13" s="157">
        <f>BİLANÇO!D49</f>
        <v/>
      </c>
      <c r="E13" s="158">
        <f>D13/D30*100</f>
        <v/>
      </c>
      <c r="F13" s="159">
        <f>BİLANÇO!E49</f>
        <v/>
      </c>
      <c r="G13" s="158">
        <f>F13/F30*100</f>
        <v/>
      </c>
    </row>
    <row r="14" ht="13.5" customHeight="1" thickBot="1">
      <c r="B14" s="160" t="n">
        <v>18</v>
      </c>
      <c r="C14" s="162" t="inlineStr">
        <is>
          <t>Gel. Ayl. Ait Gid. Ve Gelir Tah.</t>
        </is>
      </c>
      <c r="D14" s="157">
        <f>BİLANÇO!D53</f>
        <v/>
      </c>
      <c r="E14" s="158">
        <f>D14/D30*100</f>
        <v/>
      </c>
      <c r="F14" s="159">
        <f>BİLANÇO!E53</f>
        <v/>
      </c>
      <c r="G14" s="158">
        <f>F14/F30*100</f>
        <v/>
      </c>
    </row>
    <row r="15" ht="13.5" customHeight="1" thickBot="1">
      <c r="B15" s="160" t="n">
        <v>19</v>
      </c>
      <c r="C15" s="162" t="inlineStr">
        <is>
          <t>Diğer Dönen Varlıklar</t>
        </is>
      </c>
      <c r="D15" s="157">
        <f>BİLANÇO!D56</f>
        <v/>
      </c>
      <c r="E15" s="158">
        <f>D15/D30*100</f>
        <v/>
      </c>
      <c r="F15" s="159">
        <f>BİLANÇO!E56</f>
        <v/>
      </c>
      <c r="G15" s="158">
        <f>F15/F30*100</f>
        <v/>
      </c>
    </row>
    <row r="16" ht="13.5" customHeight="1" thickBot="1">
      <c r="B16" s="163" t="n">
        <v>2</v>
      </c>
      <c r="C16" s="95" t="inlineStr">
        <is>
          <t>DURAN VARLIKLAR</t>
        </is>
      </c>
      <c r="D16" s="153">
        <f>SUM(D17+D18+D19+D20+D21+D22+D23+D24)</f>
        <v/>
      </c>
      <c r="E16" s="154">
        <f>D16/D30*100</f>
        <v/>
      </c>
      <c r="F16" s="93">
        <f>SUM(F17+F18+F19+F20+F21+F22+F23+F24)</f>
        <v/>
      </c>
      <c r="G16" s="154">
        <f>F16/F30*100</f>
        <v/>
      </c>
    </row>
    <row r="17" ht="13.5" customHeight="1" thickBot="1">
      <c r="B17" s="160" t="n">
        <v>22</v>
      </c>
      <c r="C17" s="161" t="inlineStr">
        <is>
          <t>Ticari Alacaklar</t>
        </is>
      </c>
      <c r="D17" s="157">
        <f>BİLANÇO!D67</f>
        <v/>
      </c>
      <c r="E17" s="158">
        <f>D17/D30*100</f>
        <v/>
      </c>
      <c r="F17" s="159">
        <f>BİLANÇO!E67</f>
        <v/>
      </c>
      <c r="G17" s="158">
        <f>F17/F30*100</f>
        <v/>
      </c>
    </row>
    <row r="18" ht="13.5" customHeight="1" thickBot="1">
      <c r="B18" s="160" t="n">
        <v>23</v>
      </c>
      <c r="C18" s="161" t="inlineStr">
        <is>
          <t>Diğer Alacaklar</t>
        </is>
      </c>
      <c r="D18" s="157">
        <f>BİLANÇO!D74</f>
        <v/>
      </c>
      <c r="E18" s="158">
        <f>D18/D30*100</f>
        <v/>
      </c>
      <c r="F18" s="159">
        <f>BİLANÇO!E74</f>
        <v/>
      </c>
      <c r="G18" s="158">
        <f>F18/F30*100</f>
        <v/>
      </c>
    </row>
    <row r="19" ht="13.5" customHeight="1" thickBot="1">
      <c r="B19" s="160" t="n">
        <v>24</v>
      </c>
      <c r="C19" s="161" t="inlineStr">
        <is>
          <t>Mali Duran Varlıklar</t>
        </is>
      </c>
      <c r="D19" s="157">
        <f>BİLANÇO!D82</f>
        <v/>
      </c>
      <c r="E19" s="158">
        <f>D19/D30*100</f>
        <v/>
      </c>
      <c r="F19" s="159">
        <f>BİLANÇO!E82</f>
        <v/>
      </c>
      <c r="G19" s="158">
        <f>F19/F30*100</f>
        <v/>
      </c>
    </row>
    <row r="20" ht="13.5" customHeight="1" thickBot="1">
      <c r="B20" s="160" t="n">
        <v>25</v>
      </c>
      <c r="C20" s="161" t="inlineStr">
        <is>
          <t>Maddi Duran Varlıklar</t>
        </is>
      </c>
      <c r="D20" s="157">
        <f>BİLANÇO!D96</f>
        <v/>
      </c>
      <c r="E20" s="158">
        <f>D20/D30*100</f>
        <v/>
      </c>
      <c r="F20" s="159">
        <f>BİLANÇO!E96</f>
        <v/>
      </c>
      <c r="G20" s="158">
        <f>F20/F30*100</f>
        <v/>
      </c>
    </row>
    <row r="21" ht="13.5" customHeight="1" thickBot="1">
      <c r="B21" s="160" t="n">
        <v>26</v>
      </c>
      <c r="C21" s="161" t="inlineStr">
        <is>
          <t>Maddi Olmayan Duran Varlıklar</t>
        </is>
      </c>
      <c r="D21" s="157">
        <f>BİLANÇO!D107</f>
        <v/>
      </c>
      <c r="E21" s="158">
        <f>D21/D30*100</f>
        <v/>
      </c>
      <c r="F21" s="159">
        <f>BİLANÇO!E107</f>
        <v/>
      </c>
      <c r="G21" s="158">
        <f>F21/F30*100</f>
        <v/>
      </c>
    </row>
    <row r="22" ht="13.5" customHeight="1" thickBot="1">
      <c r="B22" s="160" t="n">
        <v>27</v>
      </c>
      <c r="C22" s="161" t="inlineStr">
        <is>
          <t>Özel Tükenmeye Tabi Varlıklar</t>
        </is>
      </c>
      <c r="D22" s="157">
        <f>BİLANÇO!D116</f>
        <v/>
      </c>
      <c r="E22" s="158">
        <f>D22/D30*100</f>
        <v/>
      </c>
      <c r="F22" s="159">
        <f>BİLANÇO!E116</f>
        <v/>
      </c>
      <c r="G22" s="158">
        <f>F22/F30*100</f>
        <v/>
      </c>
    </row>
    <row r="23" ht="13.5" customHeight="1" thickBot="1">
      <c r="B23" s="160" t="n">
        <v>28</v>
      </c>
      <c r="C23" s="161" t="inlineStr">
        <is>
          <t>Gelecek Yıllara Ait Giderler ve Gelir Tahakukları</t>
        </is>
      </c>
      <c r="D23" s="157">
        <f>BİLANÇO!D122</f>
        <v/>
      </c>
      <c r="E23" s="158">
        <f>D23/D30*100</f>
        <v/>
      </c>
      <c r="F23" s="159">
        <f>BİLANÇO!E122</f>
        <v/>
      </c>
      <c r="G23" s="158">
        <f>F23/F30*100</f>
        <v/>
      </c>
    </row>
    <row r="24" ht="13.5" customHeight="1" thickBot="1">
      <c r="B24" s="160" t="n">
        <v>29</v>
      </c>
      <c r="C24" s="161" t="inlineStr">
        <is>
          <t>Diğer Duran Varlıklar</t>
        </is>
      </c>
      <c r="D24" s="157">
        <f>BİLANÇO!D126</f>
        <v/>
      </c>
      <c r="E24" s="158">
        <f>D24/D30*100</f>
        <v/>
      </c>
      <c r="F24" s="159">
        <f>BİLANÇO!E126</f>
        <v/>
      </c>
      <c r="G24" s="158">
        <f>F24/F30*100</f>
        <v/>
      </c>
    </row>
    <row r="25" ht="13.5" customHeight="1" thickBot="1">
      <c r="B25" s="138" t="n"/>
      <c r="C25" s="79" t="n"/>
      <c r="D25" s="108" t="n"/>
      <c r="E25" s="164" t="n"/>
      <c r="F25" s="108" t="n"/>
      <c r="G25" s="164" t="n"/>
    </row>
    <row r="26" ht="13.5" customHeight="1" thickBot="1">
      <c r="B26" s="80" t="n"/>
      <c r="C26" s="115" t="inlineStr">
        <is>
          <t>DÖNEN VARLIKLAR TOPLAMI</t>
        </is>
      </c>
      <c r="D26" s="165">
        <f>D7</f>
        <v/>
      </c>
      <c r="E26" s="166">
        <f>D26/D30*100</f>
        <v/>
      </c>
      <c r="F26" s="143">
        <f>F7</f>
        <v/>
      </c>
      <c r="G26" s="166">
        <f>F26/F30*100</f>
        <v/>
      </c>
    </row>
    <row r="27" ht="13.5" customHeight="1" thickBot="1">
      <c r="B27" s="80" t="n"/>
      <c r="C27" s="79" t="n"/>
      <c r="D27" s="145" t="n"/>
      <c r="E27" s="164" t="n"/>
      <c r="F27" s="145" t="n"/>
      <c r="G27" s="164" t="n"/>
    </row>
    <row r="28" ht="13.5" customHeight="1" thickBot="1">
      <c r="B28" s="80" t="n"/>
      <c r="C28" s="115" t="inlineStr">
        <is>
          <t>DURAN VARLIKLAR TOPLAMI</t>
        </is>
      </c>
      <c r="D28" s="165">
        <f>D16</f>
        <v/>
      </c>
      <c r="E28" s="166">
        <f>D28/D30*100</f>
        <v/>
      </c>
      <c r="F28" s="143">
        <f>F16</f>
        <v/>
      </c>
      <c r="G28" s="166">
        <f>F28/F30*100</f>
        <v/>
      </c>
    </row>
    <row r="29" ht="13.5" customHeight="1" thickBot="1">
      <c r="B29" s="80" t="n"/>
      <c r="C29" s="102" t="n"/>
      <c r="D29" s="146" t="n"/>
      <c r="E29" s="167" t="n"/>
      <c r="F29" s="146" t="n"/>
      <c r="G29" s="167" t="n"/>
    </row>
    <row r="30" ht="13.5" customHeight="1" thickBot="1">
      <c r="B30" s="80" t="n"/>
      <c r="C30" s="147" t="inlineStr">
        <is>
          <t>AKTİF (VARLIKLAR) TOPLAMI</t>
        </is>
      </c>
      <c r="D30" s="143">
        <f>D26+D28</f>
        <v/>
      </c>
      <c r="E30" s="166">
        <f>E26+E28</f>
        <v/>
      </c>
      <c r="F30" s="143">
        <f>F26+F28</f>
        <v/>
      </c>
      <c r="G30" s="166">
        <f>G26+G28</f>
        <v/>
      </c>
    </row>
    <row r="31" ht="13.5" customHeight="1" thickBot="1">
      <c r="E31" s="55" t="n"/>
      <c r="G31" s="55" t="n"/>
    </row>
    <row r="32">
      <c r="B32" s="168" t="n"/>
      <c r="C32" s="169" t="n"/>
      <c r="D32" s="269">
        <f>'GELİR TABLOSU'!C6</f>
        <v/>
      </c>
      <c r="E32" s="170" t="inlineStr">
        <is>
          <t>%</t>
        </is>
      </c>
      <c r="F32" s="269">
        <f>'GELİR TABLOSU'!E6</f>
        <v/>
      </c>
      <c r="G32" s="171" t="inlineStr">
        <is>
          <t>%</t>
        </is>
      </c>
    </row>
    <row r="33">
      <c r="B33" s="163" t="n">
        <v>3</v>
      </c>
      <c r="C33" s="172" t="inlineStr">
        <is>
          <t>KISA VADELİ YABANCI KAYNAKLAR</t>
        </is>
      </c>
      <c r="D33" s="173">
        <f>SUM(D35+D36+D37+D38+D39+D40+D41+D42+D43)</f>
        <v/>
      </c>
      <c r="E33" s="174">
        <f>D33/D65*100</f>
        <v/>
      </c>
      <c r="F33" s="175">
        <f>SUM(F35+F36+F37+F38+F39+F40+F41+F42+F43)</f>
        <v/>
      </c>
      <c r="G33" s="174">
        <f>F33/F65*100</f>
        <v/>
      </c>
    </row>
    <row r="34" ht="13.5" customHeight="1" thickBot="1">
      <c r="B34" s="106" t="n"/>
      <c r="C34" s="102" t="n"/>
      <c r="D34" s="103" t="n"/>
      <c r="E34" s="176" t="n"/>
      <c r="F34" s="177" t="n"/>
      <c r="G34" s="176" t="n"/>
    </row>
    <row r="35" ht="13.5" customHeight="1" thickBot="1">
      <c r="B35" s="160" t="n">
        <v>30</v>
      </c>
      <c r="C35" s="161" t="inlineStr">
        <is>
          <t>Mali Borçlar</t>
        </is>
      </c>
      <c r="D35" s="157">
        <f>BİLANÇO!H10</f>
        <v/>
      </c>
      <c r="E35" s="158">
        <f>D35/D65*100</f>
        <v/>
      </c>
      <c r="F35" s="159">
        <f>BİLANÇO!I10</f>
        <v/>
      </c>
      <c r="G35" s="158">
        <f>F35/F65*100</f>
        <v/>
      </c>
    </row>
    <row r="36" ht="13.5" customHeight="1" thickBot="1">
      <c r="B36" s="160" t="n">
        <v>32</v>
      </c>
      <c r="C36" s="161" t="inlineStr">
        <is>
          <t>Ticari Borçlar</t>
        </is>
      </c>
      <c r="D36" s="157">
        <f>BİLANÇO!H21</f>
        <v/>
      </c>
      <c r="E36" s="158">
        <f>D36/D65*100</f>
        <v/>
      </c>
      <c r="F36" s="159">
        <f>BİLANÇO!I21</f>
        <v/>
      </c>
      <c r="G36" s="158">
        <f>F36/F65*100</f>
        <v/>
      </c>
    </row>
    <row r="37" ht="13.5" customHeight="1" thickBot="1">
      <c r="B37" s="160" t="n">
        <v>33</v>
      </c>
      <c r="C37" s="178" t="inlineStr">
        <is>
          <t>Diğer Borçlar</t>
        </is>
      </c>
      <c r="D37" s="157">
        <f>BİLANÇO!H27</f>
        <v/>
      </c>
      <c r="E37" s="158">
        <f>D37/D65*100</f>
        <v/>
      </c>
      <c r="F37" s="159">
        <f>BİLANÇO!I27</f>
        <v/>
      </c>
      <c r="G37" s="158">
        <f>F37/F65*100</f>
        <v/>
      </c>
    </row>
    <row r="38" ht="13.5" customHeight="1" thickBot="1">
      <c r="B38" s="160" t="n">
        <v>34</v>
      </c>
      <c r="C38" s="161" t="inlineStr">
        <is>
          <t>Alınan Avanslar</t>
        </is>
      </c>
      <c r="D38" s="157">
        <f>BİLANÇO!H34</f>
        <v/>
      </c>
      <c r="E38" s="158">
        <f>D38/D65*100</f>
        <v/>
      </c>
      <c r="F38" s="159">
        <f>BİLANÇO!I34</f>
        <v/>
      </c>
      <c r="G38" s="158">
        <f>F38/F65*100</f>
        <v/>
      </c>
    </row>
    <row r="39" ht="13.5" customHeight="1" thickBot="1">
      <c r="B39" s="160" t="n">
        <v>35</v>
      </c>
      <c r="C39" s="161" t="inlineStr">
        <is>
          <t>Yıllara Yaygın İnş. Ve On. Hak.</t>
        </is>
      </c>
      <c r="D39" s="157">
        <f>BİLANÇO!H37</f>
        <v/>
      </c>
      <c r="E39" s="158">
        <f>D39/D65*100</f>
        <v/>
      </c>
      <c r="F39" s="159">
        <f>BİLANÇO!I37</f>
        <v/>
      </c>
      <c r="G39" s="158">
        <f>F39/F65*100</f>
        <v/>
      </c>
    </row>
    <row r="40" ht="13.5" customHeight="1" thickBot="1">
      <c r="B40" s="160" t="n">
        <v>36</v>
      </c>
      <c r="C40" s="161" t="inlineStr">
        <is>
          <t>Ödenecek Vergi ve Diğer Yüküm.</t>
        </is>
      </c>
      <c r="D40" s="157">
        <f>BİLANÇO!H40</f>
        <v/>
      </c>
      <c r="E40" s="158">
        <f>D40/D65*100</f>
        <v/>
      </c>
      <c r="F40" s="159">
        <f>BİLANÇO!I40</f>
        <v/>
      </c>
      <c r="G40" s="158">
        <f>F40/F65*100</f>
        <v/>
      </c>
    </row>
    <row r="41" ht="13.5" customHeight="1" thickBot="1">
      <c r="B41" s="160" t="n">
        <v>37</v>
      </c>
      <c r="C41" s="161" t="inlineStr">
        <is>
          <t>Borç ve Gider Karşılıkları</t>
        </is>
      </c>
      <c r="D41" s="157">
        <f>BİLANÇO!H46</f>
        <v/>
      </c>
      <c r="E41" s="158">
        <f>D41/D65*100</f>
        <v/>
      </c>
      <c r="F41" s="159">
        <f>BİLANÇO!I46</f>
        <v/>
      </c>
      <c r="G41" s="158">
        <f>F41/F65*100</f>
        <v/>
      </c>
    </row>
    <row r="42" ht="13.5" customHeight="1" thickBot="1">
      <c r="B42" s="160" t="n">
        <v>38</v>
      </c>
      <c r="C42" s="161" t="inlineStr">
        <is>
          <t>Gelecek Aylara Ait Gelirler ve Gider Tahakkukları</t>
        </is>
      </c>
      <c r="D42" s="157">
        <f>BİLANÇO!H54</f>
        <v/>
      </c>
      <c r="E42" s="158">
        <f>D42/D65*100</f>
        <v/>
      </c>
      <c r="F42" s="159">
        <f>BİLANÇO!I54</f>
        <v/>
      </c>
      <c r="G42" s="158">
        <f>F42/F65*100</f>
        <v/>
      </c>
    </row>
    <row r="43" ht="13.5" customHeight="1" thickBot="1">
      <c r="B43" s="160" t="n">
        <v>39</v>
      </c>
      <c r="C43" s="161" t="inlineStr">
        <is>
          <t>Diğer Kısa Vadeli Yabancı Kaynaklar</t>
        </is>
      </c>
      <c r="D43" s="157">
        <f>BİLANÇO!H58</f>
        <v/>
      </c>
      <c r="E43" s="158">
        <f>D43/D65*100</f>
        <v/>
      </c>
      <c r="F43" s="159">
        <f>BİLANÇO!I58</f>
        <v/>
      </c>
      <c r="G43" s="158">
        <f>F43/F65*100</f>
        <v/>
      </c>
    </row>
    <row r="44" ht="13.5" customHeight="1" thickBot="1">
      <c r="B44" s="179" t="n"/>
      <c r="C44" s="180" t="n"/>
      <c r="D44" s="136" t="n"/>
      <c r="E44" s="181" t="n"/>
      <c r="F44" s="182" t="n"/>
      <c r="G44" s="181" t="n"/>
    </row>
    <row r="45" ht="13.5" customHeight="1" thickBot="1">
      <c r="B45" s="91" t="n">
        <v>4</v>
      </c>
      <c r="C45" s="92" t="inlineStr">
        <is>
          <t>UZUN VADELİ YABANCI KAYNAKLAR</t>
        </is>
      </c>
      <c r="D45" s="153">
        <f>SUM(D46+D47+D48+D49+D50+D51+D52)</f>
        <v/>
      </c>
      <c r="E45" s="154">
        <f>D45/D65*100</f>
        <v/>
      </c>
      <c r="F45" s="93">
        <f>SUM(F46+F47+F48+F49+F50+F51+F52)</f>
        <v/>
      </c>
      <c r="G45" s="154">
        <f>F45/F65*100</f>
        <v/>
      </c>
    </row>
    <row r="46" ht="13.5" customHeight="1" thickBot="1">
      <c r="B46" s="155" t="n">
        <v>40</v>
      </c>
      <c r="C46" s="156" t="inlineStr">
        <is>
          <t>Mali Borçlar</t>
        </is>
      </c>
      <c r="D46" s="157">
        <f>BİLANÇO!H67</f>
        <v/>
      </c>
      <c r="E46" s="158">
        <f>D46/D65*100</f>
        <v/>
      </c>
      <c r="F46" s="159">
        <f>BİLANÇO!I67</f>
        <v/>
      </c>
      <c r="G46" s="158">
        <f>F46/F65*100</f>
        <v/>
      </c>
    </row>
    <row r="47" ht="13.5" customHeight="1" thickBot="1">
      <c r="B47" s="155" t="n">
        <v>42</v>
      </c>
      <c r="C47" s="156" t="inlineStr">
        <is>
          <t>Ticari Borçlar</t>
        </is>
      </c>
      <c r="D47" s="157">
        <f>BİLANÇO!H76</f>
        <v/>
      </c>
      <c r="E47" s="158">
        <f>D47/D65*100</f>
        <v/>
      </c>
      <c r="F47" s="159">
        <f>BİLANÇO!I76</f>
        <v/>
      </c>
      <c r="G47" s="158">
        <f>F47/F65*100</f>
        <v/>
      </c>
    </row>
    <row r="48" ht="13.5" customHeight="1" thickBot="1">
      <c r="B48" s="155" t="n">
        <v>43</v>
      </c>
      <c r="C48" s="156" t="inlineStr">
        <is>
          <t>Diğer Borçlar</t>
        </is>
      </c>
      <c r="D48" s="157">
        <f>BİLANÇO!H82</f>
        <v/>
      </c>
      <c r="E48" s="158">
        <f>D48/D65*100</f>
        <v/>
      </c>
      <c r="F48" s="159">
        <f>BİLANÇO!I82</f>
        <v/>
      </c>
      <c r="G48" s="158">
        <f>F48/F65*100</f>
        <v/>
      </c>
    </row>
    <row r="49" ht="13.5" customHeight="1" thickBot="1">
      <c r="B49" s="155" t="n">
        <v>44</v>
      </c>
      <c r="C49" s="156" t="inlineStr">
        <is>
          <t>Alınan Avanslar</t>
        </is>
      </c>
      <c r="D49" s="157">
        <f>BİLANÇO!H89</f>
        <v/>
      </c>
      <c r="E49" s="158">
        <f>D49/D65*100</f>
        <v/>
      </c>
      <c r="F49" s="159">
        <f>BİLANÇO!I89</f>
        <v/>
      </c>
      <c r="G49" s="158">
        <f>F49/F65*100</f>
        <v/>
      </c>
    </row>
    <row r="50" ht="13.5" customHeight="1" thickBot="1">
      <c r="B50" s="155" t="n">
        <v>47</v>
      </c>
      <c r="C50" s="156" t="inlineStr">
        <is>
          <t>Borç ve Gider Karşılıkları</t>
        </is>
      </c>
      <c r="D50" s="157">
        <f>BİLANÇO!H92</f>
        <v/>
      </c>
      <c r="E50" s="158">
        <f>D50/D65*100</f>
        <v/>
      </c>
      <c r="F50" s="159">
        <f>BİLANÇO!I92</f>
        <v/>
      </c>
      <c r="G50" s="158">
        <f>F50/F65*100</f>
        <v/>
      </c>
    </row>
    <row r="51" ht="13.5" customHeight="1" thickBot="1">
      <c r="B51" s="155" t="n">
        <v>48</v>
      </c>
      <c r="C51" s="156" t="inlineStr">
        <is>
          <t>Gelecek Yıllara Ait Gelirler ve Gider Tahakkukları</t>
        </is>
      </c>
      <c r="D51" s="157">
        <f>BİLANÇO!H95</f>
        <v/>
      </c>
      <c r="E51" s="158">
        <f>D51/D65*100</f>
        <v/>
      </c>
      <c r="F51" s="159">
        <f>BİLANÇO!I95</f>
        <v/>
      </c>
      <c r="G51" s="158">
        <f>F51/F65*100</f>
        <v/>
      </c>
    </row>
    <row r="52" ht="13.5" customHeight="1" thickBot="1">
      <c r="B52" s="155" t="n">
        <v>49</v>
      </c>
      <c r="C52" s="156" t="inlineStr">
        <is>
          <t>Diğer Uzun Vadeli Yabancı Kaynaklar</t>
        </is>
      </c>
      <c r="D52" s="157">
        <f>BİLANÇO!H99</f>
        <v/>
      </c>
      <c r="E52" s="158" t="n">
        <v>0</v>
      </c>
      <c r="F52" s="159">
        <f>BİLANÇO!I99</f>
        <v/>
      </c>
      <c r="G52" s="158" t="n">
        <v>0</v>
      </c>
    </row>
    <row r="53" ht="13.5" customHeight="1" thickBot="1">
      <c r="B53" s="91" t="n">
        <v>5</v>
      </c>
      <c r="C53" s="92" t="inlineStr">
        <is>
          <t>ÖZKAYNAKLAR</t>
        </is>
      </c>
      <c r="D53" s="93">
        <f>SUM(D54+D55+D56+D57-D58+D59)</f>
        <v/>
      </c>
      <c r="E53" s="154">
        <f>D53/D65*100</f>
        <v/>
      </c>
      <c r="F53" s="93">
        <f>SUM(F54+F55+F56+F57-F58+F59)</f>
        <v/>
      </c>
      <c r="G53" s="154">
        <f>F53/F65*100</f>
        <v/>
      </c>
    </row>
    <row r="54" ht="13.5" customHeight="1" thickBot="1">
      <c r="B54" s="155" t="n">
        <v>50</v>
      </c>
      <c r="C54" s="156" t="inlineStr">
        <is>
          <t>Ödenmiş Sermaye</t>
        </is>
      </c>
      <c r="D54" s="157">
        <f>BİLANÇO!H107</f>
        <v/>
      </c>
      <c r="E54" s="158">
        <f>D54/D65*100</f>
        <v/>
      </c>
      <c r="F54" s="159">
        <f>BİLANÇO!I107</f>
        <v/>
      </c>
      <c r="G54" s="158">
        <f>F54/F65*100</f>
        <v/>
      </c>
    </row>
    <row r="55" ht="13.5" customHeight="1" thickBot="1">
      <c r="B55" s="155" t="n">
        <v>52</v>
      </c>
      <c r="C55" s="156" t="inlineStr">
        <is>
          <t>Sermaye Yedekleri</t>
        </is>
      </c>
      <c r="D55" s="157">
        <f>BİLANÇO!H112</f>
        <v/>
      </c>
      <c r="E55" s="158">
        <f>D55/D65*100</f>
        <v/>
      </c>
      <c r="F55" s="159">
        <f>BİLANÇO!I112</f>
        <v/>
      </c>
      <c r="G55" s="158">
        <f>F55/F65*100</f>
        <v/>
      </c>
    </row>
    <row r="56" ht="13.5" customHeight="1" thickBot="1">
      <c r="B56" s="155" t="n">
        <v>54</v>
      </c>
      <c r="C56" s="183" t="inlineStr">
        <is>
          <t>Kar Yedekleri</t>
        </is>
      </c>
      <c r="D56" s="157">
        <f>BİLANÇO!H119</f>
        <v/>
      </c>
      <c r="E56" s="158">
        <f>D56/D65*100</f>
        <v/>
      </c>
      <c r="F56" s="159">
        <f>BİLANÇO!I119</f>
        <v/>
      </c>
      <c r="G56" s="158">
        <f>F56/F65*100</f>
        <v/>
      </c>
    </row>
    <row r="57" ht="13.5" customHeight="1" thickBot="1">
      <c r="B57" s="155" t="n">
        <v>57</v>
      </c>
      <c r="C57" s="156" t="inlineStr">
        <is>
          <t>Geçmiş Yıllar Karları</t>
        </is>
      </c>
      <c r="D57" s="157">
        <f>BİLANÇO!H125</f>
        <v/>
      </c>
      <c r="E57" s="158">
        <f>D57/D65*100</f>
        <v/>
      </c>
      <c r="F57" s="159">
        <f>BİLANÇO!I125</f>
        <v/>
      </c>
      <c r="G57" s="158">
        <f>F57/F65*100</f>
        <v/>
      </c>
    </row>
    <row r="58" ht="13.5" customHeight="1" thickBot="1">
      <c r="B58" s="155" t="n">
        <v>58</v>
      </c>
      <c r="C58" s="156" t="inlineStr">
        <is>
          <t>Geçmiş Yıllar Zararları (-)</t>
        </is>
      </c>
      <c r="D58" s="157">
        <f>BİLANÇO!H127</f>
        <v/>
      </c>
      <c r="E58" s="158">
        <f>D58/D65*100</f>
        <v/>
      </c>
      <c r="F58" s="159">
        <f>BİLANÇO!I127</f>
        <v/>
      </c>
      <c r="G58" s="158">
        <f>F58/F65*100</f>
        <v/>
      </c>
    </row>
    <row r="59" ht="13.5" customHeight="1" thickBot="1">
      <c r="B59" s="155" t="n">
        <v>59</v>
      </c>
      <c r="C59" s="156" t="inlineStr">
        <is>
          <t>Dönem Net Karı (Zararı)</t>
        </is>
      </c>
      <c r="D59" s="157">
        <f>BİLANÇO!H129</f>
        <v/>
      </c>
      <c r="E59" s="158">
        <f>D59/D65*100</f>
        <v/>
      </c>
      <c r="F59" s="159">
        <f>BİLANÇO!I129</f>
        <v/>
      </c>
      <c r="G59" s="158">
        <f>F59/F65*100</f>
        <v/>
      </c>
    </row>
    <row r="60" ht="13.5" customHeight="1" thickBot="1">
      <c r="B60" s="124" t="n"/>
      <c r="C60" s="124" t="n"/>
      <c r="D60" s="184" t="n"/>
      <c r="E60" s="185" t="n"/>
      <c r="F60" s="186" t="n"/>
      <c r="G60" s="185" t="n"/>
    </row>
    <row r="61" ht="13.5" customHeight="1" thickBot="1">
      <c r="B61" s="124" t="n"/>
      <c r="C61" s="115" t="inlineStr">
        <is>
          <t>YABANCI KAYNAKLAR TOPLAMI</t>
        </is>
      </c>
      <c r="D61" s="165">
        <f>D33+D45</f>
        <v/>
      </c>
      <c r="E61" s="166">
        <f>D61/D65*100</f>
        <v/>
      </c>
      <c r="F61" s="143">
        <f>F33+F45</f>
        <v/>
      </c>
      <c r="G61" s="166">
        <f>F61/F65*100</f>
        <v/>
      </c>
    </row>
    <row r="62" ht="13.5" customHeight="1" thickBot="1">
      <c r="B62" s="124" t="n"/>
      <c r="C62" s="124" t="n"/>
      <c r="D62" s="145" t="n"/>
      <c r="E62" s="187" t="n"/>
      <c r="F62" s="188" t="n"/>
      <c r="G62" s="187" t="n"/>
    </row>
    <row r="63" ht="13.5" customHeight="1" thickBot="1">
      <c r="B63" s="115" t="n"/>
      <c r="C63" s="115" t="inlineStr">
        <is>
          <t>ÖZKAYNAKLAR TOPLAMI</t>
        </is>
      </c>
      <c r="D63" s="165">
        <f>D53</f>
        <v/>
      </c>
      <c r="E63" s="166">
        <f>D63/D65*100</f>
        <v/>
      </c>
      <c r="F63" s="143">
        <f>F53</f>
        <v/>
      </c>
      <c r="G63" s="166">
        <f>F63/F65*100</f>
        <v/>
      </c>
    </row>
    <row r="64" ht="13.5" customHeight="1" thickBot="1">
      <c r="B64" s="115" t="n"/>
      <c r="C64" s="115" t="n"/>
      <c r="D64" s="146" t="n"/>
      <c r="E64" s="189" t="n"/>
      <c r="F64" s="190" t="n"/>
      <c r="G64" s="189" t="n"/>
    </row>
    <row r="65" ht="13.5" customHeight="1" thickBot="1">
      <c r="B65" s="115" t="n"/>
      <c r="C65" s="148" t="inlineStr">
        <is>
          <t>PASİF KAYNAKLAR TOPLAMI</t>
        </is>
      </c>
      <c r="D65" s="165">
        <f>D63+D61</f>
        <v/>
      </c>
      <c r="E65" s="166">
        <f>E61+E63</f>
        <v/>
      </c>
      <c r="F65" s="143">
        <f>F61+F63</f>
        <v/>
      </c>
      <c r="G65" s="166">
        <f>G61+G63</f>
        <v/>
      </c>
    </row>
    <row r="67">
      <c r="D67" s="105" t="n"/>
      <c r="E67" s="105" t="n"/>
      <c r="F67" s="105" t="n"/>
      <c r="G67" s="105" t="n"/>
    </row>
    <row r="70">
      <c r="F70" s="1" t="inlineStr">
        <is>
          <t xml:space="preserve"> </t>
        </is>
      </c>
    </row>
  </sheetData>
  <mergeCells count="3">
    <mergeCell ref="B3:G3"/>
    <mergeCell ref="B4:G4"/>
    <mergeCell ref="B5:G5"/>
  </mergeCells>
  <hyperlinks>
    <hyperlink ref="A1" location="'ANA SAYFA'!A1" display="ANASAYFA"/>
  </hyperlinks>
  <pageMargins left="0.17" right="0.3" top="0.25" bottom="0.22" header="0.2" footer="0.17"/>
  <pageSetup orientation="portrait" paperSize="9" scale="78"/>
</worksheet>
</file>

<file path=xl/worksheets/sheet6.xml><?xml version="1.0" encoding="utf-8"?>
<worksheet xmlns="http://schemas.openxmlformats.org/spreadsheetml/2006/main">
  <sheetPr codeName="Sayfa5">
    <tabColor theme="0"/>
    <outlinePr summaryBelow="1" summaryRight="1"/>
    <pageSetUpPr fitToPage="1"/>
  </sheetPr>
  <dimension ref="A1:J35"/>
  <sheetViews>
    <sheetView showGridLines="0" zoomScaleNormal="100" workbookViewId="0">
      <pane ySplit="5" topLeftCell="A6" activePane="bottomLeft" state="frozen"/>
      <selection activeCell="E22" sqref="E22"/>
      <selection pane="bottomLeft" activeCell="D15" sqref="D15:D16"/>
    </sheetView>
  </sheetViews>
  <sheetFormatPr baseColWidth="8" defaultColWidth="9.140625" defaultRowHeight="12.75"/>
  <cols>
    <col width="9" bestFit="1" customWidth="1" style="1" min="1" max="1"/>
    <col width="32.7109375" bestFit="1" customWidth="1" style="1" min="2" max="2"/>
    <col width="46" bestFit="1" customWidth="1" style="1" min="3" max="3"/>
    <col width="11" customWidth="1" style="1" min="4" max="4"/>
    <col width="14.28515625" customWidth="1" style="1" min="5" max="5"/>
    <col width="10.140625" customWidth="1" style="1" min="6" max="7"/>
    <col width="1.140625" bestFit="1" customWidth="1" style="1" min="8" max="8"/>
    <col width="9.140625" customWidth="1" style="1" min="9" max="16384"/>
  </cols>
  <sheetData>
    <row r="1" ht="10.5" customFormat="1" customHeight="1" s="79">
      <c r="A1" s="12" t="inlineStr">
        <is>
          <t>ANASAYFA</t>
        </is>
      </c>
      <c r="G1" s="81" t="inlineStr">
        <is>
          <t>SYF.5</t>
        </is>
      </c>
    </row>
    <row r="2" ht="13.5" customHeight="1" thickBot="1"/>
    <row r="3" ht="15.75" customHeight="1" thickBot="1">
      <c r="B3" s="471">
        <f>'ANA SAYFA'!F11</f>
        <v/>
      </c>
      <c r="C3" s="472" t="n"/>
      <c r="D3" s="472" t="n"/>
      <c r="E3" s="472" t="n"/>
      <c r="F3" s="472" t="n"/>
      <c r="G3" s="473" t="n"/>
    </row>
    <row r="4" ht="15.75" customHeight="1" thickBot="1">
      <c r="B4" s="191" t="n"/>
      <c r="C4" s="192" t="n"/>
      <c r="D4" s="192" t="n"/>
      <c r="E4" s="192" t="n"/>
      <c r="F4" s="192" t="n"/>
      <c r="G4" s="193" t="n"/>
    </row>
    <row r="5" ht="21" customHeight="1" thickBot="1">
      <c r="B5" s="194" t="inlineStr">
        <is>
          <t>LİKİDİTE ORANLARI</t>
        </is>
      </c>
      <c r="C5" s="195" t="n"/>
      <c r="D5" s="196">
        <f>BİLANÇO!D7</f>
        <v/>
      </c>
      <c r="E5" s="196">
        <f>BİLANÇO!E7</f>
        <v/>
      </c>
      <c r="F5" s="197" t="inlineStr">
        <is>
          <t>İDEALİ</t>
        </is>
      </c>
      <c r="G5" s="198" t="inlineStr">
        <is>
          <t xml:space="preserve">
DURUM
</t>
        </is>
      </c>
    </row>
    <row r="6" ht="15" customHeight="1" thickBot="1">
      <c r="B6" s="199" t="n"/>
      <c r="C6" s="200" t="n"/>
      <c r="D6" s="200" t="n"/>
      <c r="E6" s="200" t="n"/>
      <c r="F6" s="200" t="n"/>
      <c r="G6" s="201" t="n"/>
      <c r="I6" s="202" t="n"/>
      <c r="J6" s="202" t="n"/>
    </row>
    <row r="7">
      <c r="B7" s="210" t="inlineStr">
        <is>
          <t>Cari Oran</t>
        </is>
      </c>
      <c r="C7" s="203" t="inlineStr">
        <is>
          <t xml:space="preserve">      Dönen      Varlıklar       </t>
        </is>
      </c>
      <c r="D7" s="474">
        <f>'BİLANÇO ANALİZİ'!D7/'BİLANÇO ANALİZİ'!D33</f>
        <v/>
      </c>
      <c r="E7" s="474">
        <f>'BİLANÇO ANALİZİ'!F7/'BİLANÇO ANALİZİ'!F33</f>
        <v/>
      </c>
      <c r="F7" s="474" t="n">
        <v>1</v>
      </c>
      <c r="G7" s="474">
        <f>IF(E7&lt;F7,"DİKKAT","İYİ")</f>
        <v/>
      </c>
      <c r="I7" s="204" t="n"/>
      <c r="J7" s="204" t="n"/>
    </row>
    <row r="8" ht="13.5" customHeight="1" thickBot="1">
      <c r="B8" s="343" t="n"/>
      <c r="C8" s="205" t="inlineStr">
        <is>
          <t>Kısa Vadeli Yabancı Kaynaklar</t>
        </is>
      </c>
      <c r="D8" s="475" t="n"/>
      <c r="E8" s="475" t="n"/>
      <c r="F8" s="475" t="n"/>
      <c r="G8" s="475" t="n"/>
      <c r="I8" s="206" t="n"/>
      <c r="J8" s="204" t="n"/>
    </row>
    <row r="9">
      <c r="B9" s="210" t="inlineStr">
        <is>
          <t>Likidite Oranı</t>
        </is>
      </c>
      <c r="C9" s="203" t="inlineStr">
        <is>
          <t xml:space="preserve">        Dönen Varlıklar - Stoklar </t>
        </is>
      </c>
      <c r="D9" s="474">
        <f>('BİLANÇO ANALİZİ'!D7-'BİLANÇO ANALİZİ'!D12)/'BİLANÇO ANALİZİ'!D33</f>
        <v/>
      </c>
      <c r="E9" s="474">
        <f>('BİLANÇO ANALİZİ'!F7-'BİLANÇO ANALİZİ'!F12)/'BİLANÇO ANALİZİ'!F33</f>
        <v/>
      </c>
      <c r="F9" s="474" t="n">
        <v>0.75</v>
      </c>
      <c r="G9" s="474">
        <f>IF(E9&lt;F9,"DİKKAT","İYİ")</f>
        <v/>
      </c>
      <c r="I9" s="206" t="n"/>
      <c r="J9" s="204" t="n"/>
    </row>
    <row r="10" ht="13.5" customHeight="1" thickBot="1">
      <c r="B10" s="343" t="n"/>
      <c r="C10" s="205" t="inlineStr">
        <is>
          <t>Kısa Vadeli Yabancı kaynaklar</t>
        </is>
      </c>
      <c r="D10" s="475" t="n"/>
      <c r="E10" s="475" t="n"/>
      <c r="F10" s="475" t="n"/>
      <c r="G10" s="475" t="n"/>
      <c r="I10" s="206" t="n"/>
      <c r="J10" s="204" t="n"/>
    </row>
    <row r="11">
      <c r="B11" s="210" t="inlineStr">
        <is>
          <t>Nakit Oranı</t>
        </is>
      </c>
      <c r="C11" s="203" t="inlineStr">
        <is>
          <t>Hazır Değerler + Menkul Kıymetler</t>
        </is>
      </c>
      <c r="D11" s="474">
        <f>('BİLANÇO ANALİZİ'!D8+'BİLANÇO ANALİZİ'!D9)/'BİLANÇO ANALİZİ'!D33</f>
        <v/>
      </c>
      <c r="E11" s="474">
        <f>('BİLANÇO ANALİZİ'!F8+'BİLANÇO ANALİZİ'!F9)/'BİLANÇO ANALİZİ'!F33</f>
        <v/>
      </c>
      <c r="F11" s="474" t="n">
        <v>0.25</v>
      </c>
      <c r="G11" s="474">
        <f>IF(E11&lt;F11,"DİKKAT","İYİ")</f>
        <v/>
      </c>
    </row>
    <row r="12" ht="13.5" customHeight="1" thickBot="1">
      <c r="B12" s="343" t="n"/>
      <c r="C12" s="205" t="inlineStr">
        <is>
          <t>Kısa Vadeli Yabancı Kaynaklar</t>
        </is>
      </c>
      <c r="D12" s="475" t="n"/>
      <c r="E12" s="475" t="n"/>
      <c r="F12" s="475" t="n"/>
      <c r="G12" s="475" t="n"/>
    </row>
    <row r="13">
      <c r="B13" s="207" t="inlineStr">
        <is>
          <t>Net Nakit Oran</t>
        </is>
      </c>
      <c r="C13" s="203" t="inlineStr">
        <is>
          <t>Hazır Değerler + Menkul Kıymetler-Alınan Çekler</t>
        </is>
      </c>
      <c r="D13" s="474">
        <f>('BİLANÇO ANALİZİ'!D8+'BİLANÇO ANALİZİ'!D9-BİLANÇO!D11)/('BİLANÇO ANALİZİ'!D33-BİLANÇO!H28-BİLANÇO!H35)</f>
        <v/>
      </c>
      <c r="E13" s="474">
        <f>('BİLANÇO ANALİZİ'!F8+'BİLANÇO ANALİZİ'!F9-BİLANÇO!#REF!)/('BİLANÇO ANALİZİ'!F33-BİLANÇO!I28-BİLANÇO!I35)</f>
        <v/>
      </c>
      <c r="F13" s="474" t="n">
        <v>0.2</v>
      </c>
      <c r="G13" s="474">
        <f>IF(E13&lt;F13,"DİKKAT","İYİ")</f>
        <v/>
      </c>
    </row>
    <row r="14" ht="13.5" customHeight="1" thickBot="1">
      <c r="B14" s="475" t="n"/>
      <c r="C14" s="205" t="inlineStr">
        <is>
          <t>Kısa Vd.Yab.Kayn.-Ortaklara Borç.-Alınan Sip.Avansları</t>
        </is>
      </c>
      <c r="D14" s="475" t="n"/>
      <c r="E14" s="475" t="n"/>
      <c r="F14" s="475" t="n"/>
      <c r="G14" s="475" t="n"/>
    </row>
    <row r="15">
      <c r="B15" s="207" t="inlineStr">
        <is>
          <t xml:space="preserve">Çalışma Sermayesi </t>
        </is>
      </c>
      <c r="C15" s="476" t="inlineStr">
        <is>
          <t>Dönen Varlıklar - Kısa Vadeli Yabancı Kaynak</t>
        </is>
      </c>
      <c r="D15" s="474">
        <f>'BİLANÇO ANALİZİ'!D7-'BİLANÇO ANALİZİ'!D33</f>
        <v/>
      </c>
      <c r="E15" s="474">
        <f>'BİLANÇO ANALİZİ'!F7-'BİLANÇO ANALİZİ'!F33</f>
        <v/>
      </c>
      <c r="F15" s="477" t="n"/>
      <c r="G15" s="474">
        <f>IF(E15&lt;F15,"DİKKAT","İYİ")</f>
        <v/>
      </c>
    </row>
    <row r="16" ht="13.5" customHeight="1" thickBot="1">
      <c r="B16" s="475" t="n"/>
      <c r="C16" s="475" t="n"/>
      <c r="D16" s="475" t="n"/>
      <c r="E16" s="475" t="n"/>
      <c r="F16" s="475" t="n"/>
      <c r="G16" s="475" t="n"/>
    </row>
    <row r="17" ht="13.5" customHeight="1" thickBot="1">
      <c r="B17" s="207" t="inlineStr">
        <is>
          <t>Net Çalışma Sermayesi</t>
        </is>
      </c>
      <c r="C17" s="412" t="inlineStr">
        <is>
          <t>(Dönen Varlıklar-Stoklar)- Kısa Vd Yabancı Kaynak</t>
        </is>
      </c>
      <c r="D17" s="406">
        <f>'BİLANÇO ANALİZİ'!D7-'BİLANÇO ANALİZİ'!D12-'BİLANÇO ANALİZİ'!D33</f>
        <v/>
      </c>
      <c r="E17" s="406">
        <f>'BİLANÇO ANALİZİ'!F7-'BİLANÇO ANALİZİ'!F12-'BİLANÇO ANALİZİ'!F33</f>
        <v/>
      </c>
      <c r="F17" s="406">
        <f>+F15/2</f>
        <v/>
      </c>
      <c r="G17" s="406">
        <f>IF(E17&lt;F17,"DİKKAT","İYİ")</f>
        <v/>
      </c>
    </row>
    <row r="18" ht="13.5" customHeight="1" thickBot="1">
      <c r="B18" s="210" t="n"/>
      <c r="C18" s="211" t="n"/>
      <c r="D18" s="212" t="n"/>
      <c r="E18" s="212" t="n"/>
      <c r="F18" s="212" t="n"/>
      <c r="G18" s="213" t="n"/>
    </row>
    <row r="19" ht="15" customHeight="1" thickBot="1">
      <c r="B19" s="194" t="inlineStr">
        <is>
          <t>SERMAYE  YAPISI ORANLARI</t>
        </is>
      </c>
      <c r="C19" s="195" t="n"/>
      <c r="D19" s="196">
        <f>D5</f>
        <v/>
      </c>
      <c r="E19" s="214">
        <f>E5</f>
        <v/>
      </c>
      <c r="F19" s="197" t="inlineStr">
        <is>
          <t>İDEALİ</t>
        </is>
      </c>
      <c r="G19" s="197" t="inlineStr">
        <is>
          <t>DURUM</t>
        </is>
      </c>
      <c r="H19" s="1" t="inlineStr">
        <is>
          <t xml:space="preserve"> </t>
        </is>
      </c>
    </row>
    <row r="20" ht="15" customHeight="1" thickBot="1">
      <c r="B20" s="215" t="n"/>
      <c r="C20" s="216" t="n"/>
      <c r="D20" s="216" t="n"/>
      <c r="E20" s="216" t="n"/>
      <c r="F20" s="216" t="n"/>
      <c r="G20" s="217" t="n"/>
    </row>
    <row r="21">
      <c r="B21" s="210" t="inlineStr">
        <is>
          <t>Yabancı Kaynak Oranı   (%)</t>
        </is>
      </c>
      <c r="C21" s="203" t="inlineStr">
        <is>
          <t>Toplam Yabancı Kaynaklar</t>
        </is>
      </c>
      <c r="D21" s="478">
        <f>'BİLANÇO ANALİZİ'!D61/'BİLANÇO ANALİZİ'!D65</f>
        <v/>
      </c>
      <c r="E21" s="478">
        <f>'BİLANÇO ANALİZİ'!F61/'BİLANÇO ANALİZİ'!F65</f>
        <v/>
      </c>
      <c r="F21" s="478" t="n">
        <v>0.5</v>
      </c>
      <c r="G21" s="474" t="n"/>
    </row>
    <row r="22" ht="13.5" customHeight="1" thickBot="1">
      <c r="B22" s="343" t="n"/>
      <c r="C22" s="205" t="inlineStr">
        <is>
          <t>Pasif Toplamı</t>
        </is>
      </c>
      <c r="D22" s="470" t="n"/>
      <c r="E22" s="470" t="n"/>
      <c r="F22" s="470" t="n"/>
      <c r="G22" s="475" t="n"/>
    </row>
    <row r="23">
      <c r="B23" s="210" t="inlineStr">
        <is>
          <t>Öz Kaynak Oranı          (%)</t>
        </is>
      </c>
      <c r="C23" s="203" t="inlineStr">
        <is>
          <t>Öz Kaynaklar</t>
        </is>
      </c>
      <c r="D23" s="478">
        <f>'BİLANÇO ANALİZİ'!D63/'BİLANÇO ANALİZİ'!D65</f>
        <v/>
      </c>
      <c r="E23" s="478">
        <f>'BİLANÇO ANALİZİ'!F63/'BİLANÇO ANALİZİ'!F65</f>
        <v/>
      </c>
      <c r="F23" s="478" t="n">
        <v>0.5</v>
      </c>
      <c r="G23" s="474" t="n"/>
    </row>
    <row r="24" ht="13.5" customHeight="1" thickBot="1">
      <c r="B24" s="343" t="n"/>
      <c r="C24" s="205" t="inlineStr">
        <is>
          <t>Pasif Toplamı</t>
        </is>
      </c>
      <c r="D24" s="470" t="n"/>
      <c r="E24" s="470" t="n"/>
      <c r="F24" s="470" t="n"/>
      <c r="G24" s="475" t="n"/>
    </row>
    <row r="25" ht="13.5" customHeight="1" thickBot="1">
      <c r="B25" s="404" t="n"/>
      <c r="C25" s="219" t="n"/>
      <c r="D25" s="220" t="n"/>
      <c r="E25" s="220" t="n"/>
      <c r="F25" s="220" t="n"/>
      <c r="G25" s="213" t="n"/>
    </row>
    <row r="26" ht="15" customHeight="1" thickBot="1">
      <c r="B26" s="194" t="inlineStr">
        <is>
          <t>KARLILIK ORANLARI</t>
        </is>
      </c>
      <c r="C26" s="195" t="n"/>
      <c r="D26" s="196">
        <f>D5</f>
        <v/>
      </c>
      <c r="E26" s="214">
        <f>E5</f>
        <v/>
      </c>
      <c r="F26" s="197" t="inlineStr">
        <is>
          <t>İDEALİ</t>
        </is>
      </c>
      <c r="G26" s="197" t="inlineStr">
        <is>
          <t>DURUM</t>
        </is>
      </c>
    </row>
    <row r="27" ht="15" customHeight="1" thickBot="1">
      <c r="B27" s="215" t="n"/>
      <c r="C27" s="216" t="n"/>
      <c r="D27" s="216" t="n"/>
      <c r="E27" s="216" t="n"/>
      <c r="F27" s="216" t="n"/>
      <c r="G27" s="217" t="n"/>
    </row>
    <row r="28">
      <c r="B28" s="210" t="inlineStr">
        <is>
          <t>Brüt Kar Marjı</t>
        </is>
      </c>
      <c r="C28" s="203" t="inlineStr">
        <is>
          <t>Brüt Satış Karı</t>
        </is>
      </c>
      <c r="D28" s="474">
        <f>'GELİR TABLOSU'!C27/'GELİR TABLOSU'!C19</f>
        <v/>
      </c>
      <c r="E28" s="474">
        <f>'GELİR TABLOSU'!E27/'GELİR TABLOSU'!E19</f>
        <v/>
      </c>
      <c r="F28" s="474" t="n"/>
      <c r="G28" s="474" t="n"/>
    </row>
    <row r="29" ht="13.5" customHeight="1" thickBot="1">
      <c r="B29" s="343" t="n"/>
      <c r="C29" s="205" t="inlineStr">
        <is>
          <t>Net Satışlar</t>
        </is>
      </c>
      <c r="D29" s="475" t="n"/>
      <c r="E29" s="475" t="n"/>
      <c r="F29" s="475" t="n"/>
      <c r="G29" s="475" t="n"/>
    </row>
    <row r="30">
      <c r="B30" s="210" t="inlineStr">
        <is>
          <t>Net Kar Marjı</t>
        </is>
      </c>
      <c r="C30" s="203" t="inlineStr">
        <is>
          <t>Vergi Sonrası Kar</t>
        </is>
      </c>
      <c r="D30" s="479">
        <f>'GELİR TABLOSU'!C85/'GELİR TABLOSU'!C19</f>
        <v/>
      </c>
      <c r="E30" s="479">
        <f>'GELİR TABLOSU'!E85/'GELİR TABLOSU'!E19</f>
        <v/>
      </c>
      <c r="F30" s="479" t="n"/>
      <c r="G30" s="474" t="n"/>
    </row>
    <row r="31" ht="13.5" customHeight="1" thickBot="1">
      <c r="B31" s="343" t="n"/>
      <c r="C31" s="205" t="inlineStr">
        <is>
          <t>Net Satışlar</t>
        </is>
      </c>
      <c r="D31" s="475" t="n"/>
      <c r="E31" s="475" t="n"/>
      <c r="F31" s="475" t="n"/>
      <c r="G31" s="475" t="n"/>
    </row>
    <row r="32">
      <c r="B32" s="210" t="inlineStr">
        <is>
          <t>Aktif (Yatırım) Karlılık Oranı</t>
        </is>
      </c>
      <c r="C32" s="203" t="inlineStr">
        <is>
          <t>Vergi Sonrası Kar</t>
        </is>
      </c>
      <c r="D32" s="478">
        <f>'GELİR TABLOSU'!C85/BİLANÇO!D140</f>
        <v/>
      </c>
      <c r="E32" s="478">
        <f>'GELİR TABLOSU'!E85/BİLANÇO!E140</f>
        <v/>
      </c>
      <c r="F32" s="478" t="n"/>
      <c r="G32" s="474" t="n"/>
    </row>
    <row r="33" ht="13.5" customHeight="1" thickBot="1">
      <c r="B33" s="343" t="n"/>
      <c r="C33" s="205" t="inlineStr">
        <is>
          <t>Aktif Toplamı</t>
        </is>
      </c>
      <c r="D33" s="470" t="n"/>
      <c r="E33" s="470" t="n"/>
      <c r="F33" s="470" t="n"/>
      <c r="G33" s="475" t="n"/>
    </row>
    <row r="34">
      <c r="B34" s="210" t="inlineStr">
        <is>
          <t>Satışların Maliyeti Oranı</t>
        </is>
      </c>
      <c r="C34" s="203" t="inlineStr">
        <is>
          <t>Satışların Maliyeti</t>
        </is>
      </c>
      <c r="D34" s="474">
        <f>'GELİR TABLOSU'!C20/'GELİR TABLOSU'!C19</f>
        <v/>
      </c>
      <c r="E34" s="474">
        <f>'GELİR TABLOSU'!E20/'GELİR TABLOSU'!E19</f>
        <v/>
      </c>
      <c r="F34" s="474" t="n"/>
      <c r="G34" s="474" t="n"/>
    </row>
    <row r="35" ht="13.5" customHeight="1" thickBot="1">
      <c r="B35" s="343" t="n"/>
      <c r="C35" s="205" t="inlineStr">
        <is>
          <t>Net satışlar</t>
        </is>
      </c>
      <c r="D35" s="475" t="n"/>
      <c r="E35" s="475" t="n"/>
      <c r="F35" s="475" t="n"/>
      <c r="G35" s="475" t="n"/>
    </row>
  </sheetData>
  <mergeCells count="57">
    <mergeCell ref="F15:F16"/>
    <mergeCell ref="G23:G24"/>
    <mergeCell ref="E13:E14"/>
    <mergeCell ref="G13:G14"/>
    <mergeCell ref="D21:D22"/>
    <mergeCell ref="G7:G8"/>
    <mergeCell ref="B11:B12"/>
    <mergeCell ref="E23:E24"/>
    <mergeCell ref="D11:D12"/>
    <mergeCell ref="E34:E35"/>
    <mergeCell ref="G34:G35"/>
    <mergeCell ref="F30:F31"/>
    <mergeCell ref="B23:B24"/>
    <mergeCell ref="F32:F33"/>
    <mergeCell ref="F21:F22"/>
    <mergeCell ref="E9:E10"/>
    <mergeCell ref="D32:D33"/>
    <mergeCell ref="B13:B14"/>
    <mergeCell ref="E28:E29"/>
    <mergeCell ref="D13:D14"/>
    <mergeCell ref="G28:G29"/>
    <mergeCell ref="D7:D8"/>
    <mergeCell ref="E15:E16"/>
    <mergeCell ref="G15:G16"/>
    <mergeCell ref="B34:B35"/>
    <mergeCell ref="F23:F24"/>
    <mergeCell ref="E11:E12"/>
    <mergeCell ref="B28:B29"/>
    <mergeCell ref="D28:D29"/>
    <mergeCell ref="B15:B16"/>
    <mergeCell ref="E30:E31"/>
    <mergeCell ref="D15:D16"/>
    <mergeCell ref="B9:B10"/>
    <mergeCell ref="F13:F14"/>
    <mergeCell ref="D9:D10"/>
    <mergeCell ref="G30:G31"/>
    <mergeCell ref="F9:F10"/>
    <mergeCell ref="E32:E33"/>
    <mergeCell ref="F28:F29"/>
    <mergeCell ref="E7:E8"/>
    <mergeCell ref="F11:F12"/>
    <mergeCell ref="G32:G33"/>
    <mergeCell ref="B30:B31"/>
    <mergeCell ref="B3:G3"/>
    <mergeCell ref="D30:D31"/>
    <mergeCell ref="G9:G10"/>
    <mergeCell ref="B32:B33"/>
    <mergeCell ref="E21:E22"/>
    <mergeCell ref="B7:B8"/>
    <mergeCell ref="G21:G22"/>
    <mergeCell ref="C15:C16"/>
    <mergeCell ref="D23:D24"/>
    <mergeCell ref="D34:D35"/>
    <mergeCell ref="F7:F8"/>
    <mergeCell ref="G11:G12"/>
    <mergeCell ref="F34:F35"/>
    <mergeCell ref="B21:B22"/>
  </mergeCells>
  <hyperlinks>
    <hyperlink ref="A1" location="'ANA SAYFA'!A1" display="ANASAYFA"/>
  </hyperlinks>
  <pageMargins left="0.25" right="0.25" top="0.75" bottom="0.75" header="0.3" footer="0.3"/>
  <pageSetup orientation="portrait" paperSize="9" scale="64"/>
  <colBreaks count="1" manualBreakCount="1">
    <brk id="8" min="0" max="1048575" man="1"/>
  </colBreaks>
</worksheet>
</file>

<file path=xl/worksheets/sheet7.xml><?xml version="1.0" encoding="utf-8"?>
<worksheet xmlns="http://schemas.openxmlformats.org/spreadsheetml/2006/main">
  <sheetPr>
    <tabColor theme="0"/>
    <outlinePr summaryBelow="1" summaryRight="1"/>
    <pageSetUpPr/>
  </sheetPr>
  <dimension ref="B5:G20"/>
  <sheetViews>
    <sheetView zoomScale="115" zoomScaleNormal="115" workbookViewId="0">
      <selection activeCell="F18" sqref="F18"/>
    </sheetView>
  </sheetViews>
  <sheetFormatPr baseColWidth="8" defaultColWidth="8.7109375" defaultRowHeight="12.75"/>
  <cols>
    <col width="6.140625" customWidth="1" min="1" max="1"/>
    <col width="11.140625" customWidth="1" min="2" max="2"/>
    <col width="49.7109375" bestFit="1" customWidth="1" min="3" max="3"/>
    <col width="19.140625" customWidth="1" style="255" min="4" max="4"/>
    <col width="21" customWidth="1" style="255" min="5" max="5"/>
    <col width="11.28515625" bestFit="1" customWidth="1" min="6" max="6"/>
    <col width="68.7109375" customWidth="1" min="7" max="7"/>
  </cols>
  <sheetData>
    <row r="4" ht="13.5" customHeight="1" thickBot="1"/>
    <row r="5">
      <c r="B5" s="337" t="n"/>
      <c r="C5" s="338" t="n"/>
      <c r="D5" s="338">
        <f>'GELİR TABLOSU'!C6</f>
        <v/>
      </c>
      <c r="E5" s="344">
        <f>'GELİR TABLOSU'!E6</f>
        <v/>
      </c>
      <c r="G5" s="480" t="inlineStr">
        <is>
          <t>Not: Yabancı Kaynaklara ait, Kambiyo Zararlarının tespiti için; hem 646 hem de 656 hesapta  "Yabancı kaynaklara ait Kambiyo karı/zararı" isimli alt hesap açmak gerekecektir. Bu doğrultuda dönem sonlarında Yabancı Kaynaklara ait bu 2 hesabın karşılaştırılarak toplamda kambiyo zararı çıkıyor ise tabloya yazmak gerekir.</t>
        </is>
      </c>
    </row>
    <row r="6">
      <c r="B6" s="339" t="n"/>
      <c r="C6" s="25" t="inlineStr">
        <is>
          <t>YABANCI KAYNAKLAR TOPLAMI</t>
        </is>
      </c>
      <c r="D6" s="329">
        <f>BİLANÇO!H8+BİLANÇO!H66</f>
        <v/>
      </c>
      <c r="E6" s="340">
        <f>BİLANÇO!I8+BİLANÇO!I66</f>
        <v/>
      </c>
      <c r="G6" s="481" t="n"/>
    </row>
    <row r="7">
      <c r="B7" s="339" t="n"/>
      <c r="C7" s="25" t="inlineStr">
        <is>
          <t>ÖZ KAYNAKLAR</t>
        </is>
      </c>
      <c r="D7" s="329">
        <f>BİLANÇO!H106</f>
        <v/>
      </c>
      <c r="E7" s="340">
        <f>BİLANÇO!I106</f>
        <v/>
      </c>
      <c r="G7" s="481" t="n"/>
    </row>
    <row r="8">
      <c r="B8" s="339" t="n"/>
      <c r="C8" s="347" t="inlineStr">
        <is>
          <t>FARK</t>
        </is>
      </c>
      <c r="D8" s="348">
        <f>D6-D7</f>
        <v/>
      </c>
      <c r="E8" s="349">
        <f>E6-E7</f>
        <v/>
      </c>
      <c r="G8" s="481" t="n"/>
    </row>
    <row r="9">
      <c r="B9" s="339" t="n"/>
      <c r="E9" s="341" t="n"/>
      <c r="G9" s="481" t="n"/>
    </row>
    <row r="10" ht="13.5" customHeight="1" thickBot="1">
      <c r="B10" s="339" t="n"/>
      <c r="E10" s="341" t="n"/>
      <c r="F10" s="482" t="n"/>
      <c r="G10" s="475" t="n"/>
    </row>
    <row r="11">
      <c r="B11" s="419" t="inlineStr">
        <is>
          <t>YABANCI KAYNAKLARA AİT</t>
        </is>
      </c>
      <c r="C11" s="42" t="inlineStr">
        <is>
          <t>1- Kısa Vadeli Borçlanma Giderleri</t>
        </is>
      </c>
      <c r="D11" s="329">
        <f>'GELİR TABLOSU'!C64</f>
        <v/>
      </c>
      <c r="E11" s="340">
        <f>'GELİR TABLOSU'!E64</f>
        <v/>
      </c>
      <c r="G11" s="483" t="inlineStr">
        <is>
          <t>Kullanılan yabancı kaynakları Öz Kaynaklarını aşan işletmelerde, aşan kısma münhasır olmak üzere, yatırımın maliyetine eklenenler hariç, işletmelerde kullanılan yabancı kaynaklara ilişkin faiz, komisyon, vade farkı, kar payı, kur farkı ve benzeri adlar altında yapılan gider ve maliyet unsurları toplamının %10'u gider olarak kabul edilemeyecektir. (GVK 41.Md., KVK 11. Md.)</t>
        </is>
      </c>
    </row>
    <row r="12">
      <c r="B12" s="484" t="n"/>
      <c r="C12" s="42" t="inlineStr">
        <is>
          <t>2- Uzun Vadeli Borçlanma Giderleri</t>
        </is>
      </c>
      <c r="D12" s="329">
        <f>'GELİR TABLOSU'!C65</f>
        <v/>
      </c>
      <c r="E12" s="340">
        <f>'GELİR TABLOSU'!E65</f>
        <v/>
      </c>
      <c r="G12" s="481" t="n"/>
    </row>
    <row r="13">
      <c r="B13" s="484" t="n"/>
      <c r="C13" s="42" t="inlineStr">
        <is>
          <t>3- Komisyon Giderleri</t>
        </is>
      </c>
      <c r="D13" s="345">
        <f>'GELİR TABLOSU'!C53</f>
        <v/>
      </c>
      <c r="E13" s="346">
        <f>'GELİR TABLOSU'!E53</f>
        <v/>
      </c>
      <c r="G13" s="481" t="n"/>
    </row>
    <row r="14">
      <c r="B14" s="485" t="n"/>
      <c r="C14" s="331" t="inlineStr">
        <is>
          <t>4- Kambiyo Zararları (Kur Farkı Geliri var ise düşülmeli)</t>
        </is>
      </c>
      <c r="D14" s="350">
        <f>IF(('GELİR TABLOSU'!C57-'GELİR TABLOSU'!C46)&lt;0,0,('GELİR TABLOSU'!C57-'GELİR TABLOSU'!C46))</f>
        <v/>
      </c>
      <c r="E14" s="350">
        <f>IF(('GELİR TABLOSU'!E57-'GELİR TABLOSU'!E46)&lt;0,0,('GELİR TABLOSU'!E57-'GELİR TABLOSU'!E46))</f>
        <v/>
      </c>
      <c r="G14" s="481" t="n"/>
    </row>
    <row r="15">
      <c r="B15" s="339" t="n"/>
      <c r="C15" s="332" t="inlineStr">
        <is>
          <t>TOPLAM</t>
        </is>
      </c>
      <c r="D15" s="330">
        <f>SUM(D11:D14)</f>
        <v/>
      </c>
      <c r="E15" s="342">
        <f>SUM(E11:E14)</f>
        <v/>
      </c>
      <c r="G15" s="481" t="n"/>
    </row>
    <row r="16">
      <c r="B16" s="339" t="n"/>
      <c r="E16" s="341" t="n"/>
      <c r="G16" s="481" t="n"/>
    </row>
    <row r="17">
      <c r="B17" s="339" t="n"/>
      <c r="E17" s="341" t="n"/>
      <c r="G17" s="481" t="n"/>
    </row>
    <row r="18">
      <c r="B18" s="339" t="n"/>
      <c r="C18" s="333" t="inlineStr">
        <is>
          <t>Aşan Kısma Tekabül Eden Gider Toplamı</t>
        </is>
      </c>
      <c r="D18" s="329">
        <f>D15/D6*D8</f>
        <v/>
      </c>
      <c r="E18" s="340">
        <f>E15/E6*E8</f>
        <v/>
      </c>
      <c r="G18" s="481" t="n"/>
    </row>
    <row r="19" ht="13.5" customHeight="1" thickBot="1">
      <c r="B19" s="339" t="n"/>
      <c r="E19" s="341" t="n"/>
      <c r="G19" s="481" t="n"/>
    </row>
    <row r="20" ht="16.5" customHeight="1" thickBot="1">
      <c r="B20" s="343" t="n"/>
      <c r="C20" s="334" t="inlineStr">
        <is>
          <t>KKEG Yapılacak %10 Luk Kısım</t>
        </is>
      </c>
      <c r="D20" s="335">
        <f>IF(D18&lt;0,0,D18*0.1)</f>
        <v/>
      </c>
      <c r="E20" s="336">
        <f>IF(E18&lt;0,0,E18*0.1)</f>
        <v/>
      </c>
      <c r="G20" s="475" t="n"/>
    </row>
  </sheetData>
  <mergeCells count="3">
    <mergeCell ref="B11:B14"/>
    <mergeCell ref="G5:G10"/>
    <mergeCell ref="G11:G20"/>
  </mergeCell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theme="0"/>
    <outlinePr summaryBelow="1" summaryRight="1"/>
    <pageSetUpPr/>
  </sheetPr>
  <dimension ref="A1:G39"/>
  <sheetViews>
    <sheetView showGridLines="0" zoomScaleNormal="100" workbookViewId="0">
      <pane ySplit="6" topLeftCell="A7" activePane="bottomLeft" state="frozen"/>
      <selection activeCell="E22" sqref="E22"/>
      <selection pane="bottomLeft" activeCell="F21" sqref="F21"/>
    </sheetView>
  </sheetViews>
  <sheetFormatPr baseColWidth="8" defaultColWidth="9.140625" defaultRowHeight="12.75"/>
  <cols>
    <col width="9.140625" customWidth="1" style="1" min="1" max="1"/>
    <col width="5.7109375" customWidth="1" style="1" min="2" max="2"/>
    <col width="59.7109375" bestFit="1" customWidth="1" style="1" min="3" max="3"/>
    <col width="27.7109375" customWidth="1" style="1" min="4" max="4"/>
    <col width="23" bestFit="1" customWidth="1" style="1" min="5" max="5"/>
    <col width="9.140625" customWidth="1" style="1" min="6" max="16384"/>
  </cols>
  <sheetData>
    <row r="1" ht="10.5" customFormat="1" customHeight="1" s="79">
      <c r="A1" s="12" t="inlineStr">
        <is>
          <t>ANASAYFA</t>
        </is>
      </c>
      <c r="E1" s="81" t="inlineStr">
        <is>
          <t>SYF.6</t>
        </is>
      </c>
    </row>
    <row r="2" ht="10.5" customFormat="1" customHeight="1" s="79">
      <c r="A2" s="12" t="n"/>
      <c r="G2" s="81" t="n"/>
    </row>
    <row r="3" ht="13.5" customHeight="1" thickBot="1"/>
    <row r="4" ht="15" customHeight="1">
      <c r="B4" s="486">
        <f>'ORAN ANALİZİ'!B3:G3</f>
        <v/>
      </c>
      <c r="C4" s="452" t="n"/>
      <c r="D4" s="452" t="n"/>
      <c r="E4" s="453" t="n"/>
    </row>
    <row r="5" ht="15" customHeight="1">
      <c r="B5" s="487" t="n"/>
      <c r="E5" s="465" t="n"/>
    </row>
    <row r="6" ht="15" customHeight="1">
      <c r="B6" s="221" t="n"/>
      <c r="C6" s="222" t="n"/>
      <c r="D6" s="245">
        <f>'ORAN ANALİZİ'!D5</f>
        <v/>
      </c>
      <c r="E6" s="246">
        <f>'ORAN ANALİZİ'!E5</f>
        <v/>
      </c>
    </row>
    <row r="7" ht="15" customHeight="1">
      <c r="B7" s="223" t="n"/>
      <c r="C7" s="224" t="inlineStr">
        <is>
          <t xml:space="preserve">     A- EBİT ( FVÖK )</t>
        </is>
      </c>
      <c r="D7" s="488">
        <f>D9+D10</f>
        <v/>
      </c>
      <c r="E7" s="488">
        <f>E9+E10</f>
        <v/>
      </c>
    </row>
    <row r="8" ht="15" customHeight="1">
      <c r="B8" s="226" t="n"/>
      <c r="C8" s="227" t="n"/>
      <c r="D8" s="489" t="n"/>
      <c r="E8" s="489" t="n"/>
    </row>
    <row r="9" ht="15" customHeight="1">
      <c r="B9" s="226" t="n"/>
      <c r="C9" s="227" t="inlineStr">
        <is>
          <t xml:space="preserve">         1- Faiz</t>
        </is>
      </c>
      <c r="D9" s="489">
        <f>'GELİR TABLOSU'!C64</f>
        <v/>
      </c>
      <c r="E9" s="489">
        <f>'GELİR TABLOSU'!E64</f>
        <v/>
      </c>
    </row>
    <row r="10" ht="15" customHeight="1">
      <c r="B10" s="226" t="n"/>
      <c r="C10" s="227" t="inlineStr">
        <is>
          <t xml:space="preserve">         2- Vergi Öncesi Kar</t>
        </is>
      </c>
      <c r="D10" s="489">
        <f>'GELİR TABLOSU'!C80</f>
        <v/>
      </c>
      <c r="E10" s="489">
        <f>'GELİR TABLOSU'!E80</f>
        <v/>
      </c>
    </row>
    <row r="11" ht="15" customHeight="1">
      <c r="B11" s="226" t="n"/>
      <c r="C11" s="227" t="n"/>
      <c r="D11" s="489" t="n"/>
      <c r="E11" s="489" t="n"/>
    </row>
    <row r="12" ht="15" customHeight="1">
      <c r="B12" s="223" t="n"/>
      <c r="C12" s="224" t="inlineStr">
        <is>
          <t xml:space="preserve">     B- AMORTİSMAN</t>
        </is>
      </c>
      <c r="D12" s="488">
        <f>D14</f>
        <v/>
      </c>
      <c r="E12" s="488">
        <f>E14</f>
        <v/>
      </c>
    </row>
    <row r="13" ht="15" customHeight="1">
      <c r="B13" s="226" t="n"/>
      <c r="C13" s="227" t="n"/>
      <c r="D13" s="489" t="n"/>
      <c r="E13" s="489" t="n"/>
    </row>
    <row r="14" ht="15" customHeight="1">
      <c r="B14" s="226" t="n"/>
      <c r="C14" s="227" t="inlineStr">
        <is>
          <t xml:space="preserve">         1- Amortisman</t>
        </is>
      </c>
      <c r="D14" s="489" t="n"/>
      <c r="E14" s="489" t="n"/>
    </row>
    <row r="15" ht="15" customHeight="1">
      <c r="B15" s="226" t="n"/>
      <c r="C15" s="227" t="n"/>
      <c r="D15" s="489" t="n"/>
      <c r="E15" s="489" t="n"/>
    </row>
    <row r="16" ht="15" customHeight="1">
      <c r="B16" s="229" t="n"/>
      <c r="C16" s="230" t="inlineStr">
        <is>
          <t xml:space="preserve">     C- EBİTDA ( FVAÖK )*</t>
        </is>
      </c>
      <c r="D16" s="490">
        <f>D12+D7</f>
        <v/>
      </c>
      <c r="E16" s="490">
        <f>E12+E7</f>
        <v/>
      </c>
    </row>
    <row r="17" ht="15" customHeight="1">
      <c r="B17" s="229" t="n"/>
      <c r="C17" s="230" t="inlineStr">
        <is>
          <t xml:space="preserve">     D- FVAÖK ORANI</t>
        </is>
      </c>
      <c r="D17" s="491">
        <f>D16/'GELİR TABLOSU'!C19</f>
        <v/>
      </c>
      <c r="E17" s="491">
        <f>E16/'GELİR TABLOSU'!E19</f>
        <v/>
      </c>
    </row>
    <row r="18" ht="15" customHeight="1">
      <c r="B18" s="223" t="n"/>
      <c r="C18" s="224" t="inlineStr">
        <is>
          <t xml:space="preserve">     E- SEKTÖR ÇARPANI**</t>
        </is>
      </c>
      <c r="D18" s="492">
        <f>D20</f>
        <v/>
      </c>
      <c r="E18" s="492">
        <f>E20</f>
        <v/>
      </c>
    </row>
    <row r="19" ht="15" customHeight="1">
      <c r="B19" s="226" t="n"/>
      <c r="C19" s="227" t="n"/>
      <c r="D19" s="489" t="n"/>
      <c r="E19" s="489" t="n"/>
    </row>
    <row r="20" ht="15" customHeight="1">
      <c r="B20" s="226" t="n"/>
      <c r="C20" s="248" t="inlineStr">
        <is>
          <t xml:space="preserve">         1- Katsayı</t>
        </is>
      </c>
      <c r="D20" s="493" t="n">
        <v>8</v>
      </c>
      <c r="E20" s="493" t="n">
        <v>8</v>
      </c>
    </row>
    <row r="21" ht="15.75" customHeight="1" thickBot="1">
      <c r="B21" s="226" t="n"/>
      <c r="C21" s="227" t="n"/>
      <c r="D21" s="489" t="n"/>
      <c r="E21" s="489" t="n"/>
    </row>
    <row r="22" ht="15" customHeight="1">
      <c r="B22" s="234" t="n"/>
      <c r="C22" s="235" t="inlineStr">
        <is>
          <t>FİRMA DEĞERİ</t>
        </is>
      </c>
      <c r="D22" s="494">
        <f>D16*D18</f>
        <v/>
      </c>
      <c r="E22" s="494">
        <f>E16*E18</f>
        <v/>
      </c>
    </row>
    <row r="23" ht="15" customHeight="1">
      <c r="B23" s="236" t="n"/>
      <c r="C23" s="237" t="n"/>
      <c r="D23" s="495" t="n"/>
      <c r="E23" s="495" t="n"/>
    </row>
    <row r="24" ht="15" customHeight="1">
      <c r="B24" s="223" t="n"/>
      <c r="C24" s="224" t="inlineStr">
        <is>
          <t xml:space="preserve">     F- NET DEBTS ( NET FİNANSAL BORÇLAR )</t>
        </is>
      </c>
      <c r="D24" s="488">
        <f>D26-D27</f>
        <v/>
      </c>
      <c r="E24" s="488">
        <f>E26-E27</f>
        <v/>
      </c>
    </row>
    <row r="25" ht="15" customHeight="1">
      <c r="B25" s="226" t="n"/>
      <c r="C25" s="227" t="n"/>
      <c r="D25" s="489" t="n"/>
      <c r="E25" s="489" t="n"/>
    </row>
    <row r="26" ht="15" customHeight="1">
      <c r="B26" s="226" t="n"/>
      <c r="C26" s="227" t="inlineStr">
        <is>
          <t xml:space="preserve">         1- Finansal Borçlar</t>
        </is>
      </c>
      <c r="D26" s="489">
        <f>BİLANÇO!H10+BİLANÇO!H67</f>
        <v/>
      </c>
      <c r="E26" s="489">
        <f>BİLANÇO!I10+BİLANÇO!I67</f>
        <v/>
      </c>
    </row>
    <row r="27" ht="15" customHeight="1">
      <c r="B27" s="226" t="n"/>
      <c r="C27" s="227" t="inlineStr">
        <is>
          <t xml:space="preserve">         2- Nakit ve Nakit Benzerleri</t>
        </is>
      </c>
      <c r="D27" s="489">
        <f>BİLANÇO!D9</f>
        <v/>
      </c>
      <c r="E27" s="489">
        <f>BİLANÇO!E9</f>
        <v/>
      </c>
    </row>
    <row r="28" ht="15" customHeight="1">
      <c r="B28" s="223" t="n"/>
      <c r="C28" s="224" t="inlineStr">
        <is>
          <t xml:space="preserve">     G- NET DEBTS / EBİTDA</t>
        </is>
      </c>
      <c r="D28" s="488">
        <f>D24/D16</f>
        <v/>
      </c>
      <c r="E28" s="488">
        <f>E24/E16</f>
        <v/>
      </c>
    </row>
    <row r="29" ht="15" customHeight="1">
      <c r="B29" s="226" t="n"/>
      <c r="C29" s="224" t="inlineStr">
        <is>
          <t xml:space="preserve">     H- EBİT / FİNANSMAN GİDERLERİ</t>
        </is>
      </c>
      <c r="D29" s="488">
        <f>D7/D9</f>
        <v/>
      </c>
      <c r="E29" s="488">
        <f>E7/E9</f>
        <v/>
      </c>
    </row>
    <row r="30" ht="15" customHeight="1">
      <c r="B30" s="226" t="n"/>
      <c r="C30" s="227" t="n"/>
      <c r="D30" s="496" t="n"/>
      <c r="E30" s="489" t="n"/>
    </row>
    <row r="31" ht="15.75" customHeight="1" thickBot="1">
      <c r="B31" s="239" t="n"/>
      <c r="C31" s="240" t="n"/>
      <c r="D31" s="497" t="n"/>
      <c r="E31" s="497" t="n"/>
    </row>
    <row r="32" ht="15" customHeight="1">
      <c r="B32" s="242" t="n"/>
      <c r="C32" s="242" t="n"/>
      <c r="D32" s="242" t="n"/>
      <c r="E32" s="242" t="n"/>
    </row>
    <row r="33" ht="15" customHeight="1">
      <c r="B33" s="242" t="n"/>
      <c r="C33" s="242" t="n"/>
      <c r="D33" s="242" t="n"/>
      <c r="E33" s="242" t="n"/>
    </row>
    <row r="34" ht="15" customHeight="1">
      <c r="B34" s="242" t="inlineStr">
        <is>
          <t>*Faiz vergi amortisman öncesi kar</t>
        </is>
      </c>
      <c r="C34" s="242" t="n"/>
      <c r="D34" s="242" t="n"/>
      <c r="E34" s="242" t="n"/>
    </row>
    <row r="35" ht="15" customHeight="1">
      <c r="B35" s="243" t="inlineStr">
        <is>
          <t xml:space="preserve">** Ebitdayı piyasa değerine getiren çarpan. </t>
        </is>
      </c>
      <c r="C35" s="242" t="n"/>
      <c r="D35" s="242" t="n"/>
      <c r="E35" s="242" t="n"/>
    </row>
    <row r="36" ht="15" customHeight="1">
      <c r="B36" s="244" t="n"/>
      <c r="C36" s="244" t="n"/>
      <c r="D36" s="244" t="n"/>
      <c r="E36" s="244" t="n"/>
    </row>
    <row r="37" ht="15" customHeight="1">
      <c r="B37" s="244" t="n"/>
      <c r="C37" s="244" t="n"/>
      <c r="D37" s="244" t="n"/>
      <c r="E37" s="244" t="n"/>
    </row>
    <row r="38" ht="15" customHeight="1">
      <c r="B38" s="244" t="n"/>
      <c r="C38" s="244" t="n"/>
      <c r="D38" s="244" t="n"/>
      <c r="E38" s="244" t="n"/>
    </row>
    <row r="39" ht="15" customHeight="1">
      <c r="B39" s="244" t="n"/>
      <c r="C39" s="244" t="n"/>
      <c r="D39" s="244" t="n"/>
      <c r="E39" s="244" t="n"/>
    </row>
  </sheetData>
  <mergeCells count="2">
    <mergeCell ref="B5:E5"/>
    <mergeCell ref="B4:E4"/>
  </mergeCells>
  <hyperlinks>
    <hyperlink ref="A1" location="'ANA SAYFA'!A1" display="ANASAYFA"/>
  </hyperlinks>
  <pageMargins left="0.25" right="0.25" top="0.75" bottom="0.75" header="0.3" footer="0.3"/>
  <pageSetup orientation="portrait" paperSize="9" scale="70"/>
  <legacyDrawing xmlns:r="http://schemas.openxmlformats.org/officeDocument/2006/relationships" r:id="anysvml"/>
</worksheet>
</file>

<file path=xl/worksheets/sheet9.xml><?xml version="1.0" encoding="utf-8"?>
<worksheet xmlns="http://schemas.openxmlformats.org/spreadsheetml/2006/main">
  <sheetPr>
    <tabColor theme="0"/>
    <outlinePr summaryBelow="1" summaryRight="1"/>
    <pageSetUpPr fitToPage="1"/>
  </sheetPr>
  <dimension ref="A1:F21"/>
  <sheetViews>
    <sheetView showGridLines="0" tabSelected="1" zoomScale="160" zoomScaleNormal="160" workbookViewId="0">
      <pane ySplit="4" topLeftCell="A9" activePane="bottomLeft" state="frozen"/>
      <selection activeCell="E22" sqref="E22"/>
      <selection pane="bottomLeft" activeCell="C7" sqref="C7"/>
    </sheetView>
  </sheetViews>
  <sheetFormatPr baseColWidth="8" defaultColWidth="8.7109375" defaultRowHeight="12.75"/>
  <cols>
    <col width="38.140625" bestFit="1" customWidth="1" min="2" max="2"/>
    <col width="20.7109375" bestFit="1" customWidth="1" min="3" max="3"/>
    <col width="16.7109375" bestFit="1" customWidth="1" min="4" max="4"/>
    <col width="7.140625" customWidth="1" min="5" max="5"/>
  </cols>
  <sheetData>
    <row r="1" ht="10.5" customFormat="1" customHeight="1" s="79">
      <c r="A1" s="12" t="inlineStr">
        <is>
          <t>ANASAYFA</t>
        </is>
      </c>
      <c r="E1" s="81" t="inlineStr">
        <is>
          <t>SYF.7</t>
        </is>
      </c>
    </row>
    <row r="2" ht="10.5" customFormat="1" customHeight="1" s="79">
      <c r="A2" s="12" t="n"/>
      <c r="B2" s="432" t="n"/>
      <c r="E2" s="81" t="n"/>
    </row>
    <row r="3" ht="21" customFormat="1" customHeight="1" s="282">
      <c r="A3" s="280" t="n"/>
      <c r="B3" s="433" t="inlineStr">
        <is>
          <t>SERMAYE KAYBI VE BORCA BATIKLIK TESPİTİ</t>
        </is>
      </c>
      <c r="C3" s="498" t="n"/>
      <c r="D3" s="499" t="n"/>
      <c r="E3" s="281" t="n"/>
    </row>
    <row r="4">
      <c r="B4" s="283" t="n"/>
      <c r="C4" s="284">
        <f>EBİTDA!D6</f>
        <v/>
      </c>
      <c r="D4" s="284">
        <f>EBİTDA!E6</f>
        <v/>
      </c>
    </row>
    <row r="5" ht="15" customHeight="1">
      <c r="B5" s="283" t="inlineStr">
        <is>
          <t>ÖZKAYNAKLAR</t>
        </is>
      </c>
      <c r="C5" s="500">
        <f>C6+C11+C12+C14+C15+C16</f>
        <v/>
      </c>
      <c r="D5" s="500">
        <f>D6+D11+D12+D14+D15+D16</f>
        <v/>
      </c>
    </row>
    <row r="6" ht="15" customHeight="1">
      <c r="B6" s="271" t="inlineStr">
        <is>
          <t>Ödenmiş Sermaye</t>
        </is>
      </c>
      <c r="C6" s="272">
        <f>SUM(C7:C10)</f>
        <v/>
      </c>
      <c r="D6" s="272">
        <f>SUM(D7:D10)</f>
        <v/>
      </c>
    </row>
    <row r="7" ht="15" customHeight="1">
      <c r="B7" s="273" t="inlineStr">
        <is>
          <t xml:space="preserve"> Sermaye</t>
        </is>
      </c>
      <c r="C7" s="274">
        <f>BİLANÇO!H108</f>
        <v/>
      </c>
      <c r="D7" s="274">
        <f>BİLANÇO!I108</f>
        <v/>
      </c>
    </row>
    <row r="8" ht="15" customHeight="1">
      <c r="B8" s="273" t="inlineStr">
        <is>
          <t xml:space="preserve"> Ödenmemiş Sermaye (-)</t>
        </is>
      </c>
      <c r="C8" s="274">
        <f>BİLANÇO!H109</f>
        <v/>
      </c>
      <c r="D8" s="274">
        <f>BİLANÇO!I109</f>
        <v/>
      </c>
    </row>
    <row r="9" ht="15" customHeight="1">
      <c r="B9" s="273" t="inlineStr">
        <is>
          <t xml:space="preserve"> Sermaye Düzeltmesi Olumlu Farkları</t>
        </is>
      </c>
      <c r="C9" s="274">
        <f>BİLANÇO!H110</f>
        <v/>
      </c>
      <c r="D9" s="274">
        <f>BİLANÇO!I110</f>
        <v/>
      </c>
    </row>
    <row r="10" ht="15" customHeight="1">
      <c r="B10" s="273" t="inlineStr">
        <is>
          <t xml:space="preserve"> Sermaye Düzeltmesi Olumsuz Farkları (-)</t>
        </is>
      </c>
      <c r="C10" s="274">
        <f>BİLANÇO!H111</f>
        <v/>
      </c>
      <c r="D10" s="274">
        <f>BİLANÇO!I111</f>
        <v/>
      </c>
    </row>
    <row r="11" ht="15" customHeight="1">
      <c r="B11" s="271" t="inlineStr">
        <is>
          <t>Sermaye Yedekleri</t>
        </is>
      </c>
      <c r="C11" s="272">
        <f>BİLANÇO!H112</f>
        <v/>
      </c>
      <c r="D11" s="272">
        <f>BİLANÇO!I112</f>
        <v/>
      </c>
    </row>
    <row r="12" ht="15" customHeight="1">
      <c r="B12" s="271" t="inlineStr">
        <is>
          <t>Kar Yedekleri</t>
        </is>
      </c>
      <c r="C12" s="272">
        <f>BİLANÇO!H119</f>
        <v/>
      </c>
      <c r="D12" s="272">
        <f>BİLANÇO!I119</f>
        <v/>
      </c>
    </row>
    <row r="13" ht="15" customHeight="1">
      <c r="B13" s="273" t="inlineStr">
        <is>
          <t xml:space="preserve"> Yasal Yedekler</t>
        </is>
      </c>
      <c r="C13" s="274">
        <f>BİLANÇO!H120</f>
        <v/>
      </c>
      <c r="D13" s="274">
        <f>BİLANÇO!I120</f>
        <v/>
      </c>
    </row>
    <row r="14" ht="15" customHeight="1">
      <c r="B14" s="271" t="inlineStr">
        <is>
          <t>Geçmiş Yıllar Karları</t>
        </is>
      </c>
      <c r="C14" s="272">
        <f>BİLANÇO!H125</f>
        <v/>
      </c>
      <c r="D14" s="272">
        <f>BİLANÇO!I125</f>
        <v/>
      </c>
    </row>
    <row r="15" ht="15" customHeight="1">
      <c r="B15" s="271" t="inlineStr">
        <is>
          <t>Geçmiş Yıllar Zararları (-)</t>
        </is>
      </c>
      <c r="C15" s="272">
        <f>-BİLANÇO!H127</f>
        <v/>
      </c>
      <c r="D15" s="272">
        <f>-BİLANÇO!I127</f>
        <v/>
      </c>
    </row>
    <row r="16" ht="15" customHeight="1">
      <c r="B16" s="271" t="inlineStr">
        <is>
          <t>Dönem Net Karı (Zararı)</t>
        </is>
      </c>
      <c r="C16" s="272">
        <f>BİLANÇO!H129</f>
        <v/>
      </c>
      <c r="D16" s="272">
        <f>BİLANÇO!I129</f>
        <v/>
      </c>
    </row>
    <row r="17" ht="15" customHeight="1">
      <c r="B17" s="270" t="n"/>
      <c r="C17" s="270" t="n"/>
      <c r="D17" s="270" t="n"/>
    </row>
    <row r="18" ht="15" customHeight="1">
      <c r="B18" s="270" t="n"/>
      <c r="C18" s="270" t="n"/>
      <c r="D18" s="270" t="n"/>
    </row>
    <row r="19" ht="15" customHeight="1">
      <c r="A19" s="277" t="inlineStr">
        <is>
          <t>A</t>
        </is>
      </c>
      <c r="B19" s="270" t="inlineStr">
        <is>
          <t>Sermaye Kaybı Tutarının Tespiti              =</t>
        </is>
      </c>
      <c r="C19" s="276">
        <f>C6+C13-C5</f>
        <v/>
      </c>
      <c r="D19" s="276">
        <f>D6+D13-D5</f>
        <v/>
      </c>
      <c r="E19" s="278" t="inlineStr">
        <is>
          <t>*</t>
        </is>
      </c>
      <c r="F19" s="279" t="inlineStr">
        <is>
          <t>A Değeri (-) ise borca batıklıktan söz edilemez</t>
        </is>
      </c>
    </row>
    <row r="20" ht="15" customHeight="1">
      <c r="A20" s="277" t="inlineStr">
        <is>
          <t>B</t>
        </is>
      </c>
      <c r="B20" s="270" t="inlineStr">
        <is>
          <t>1/2 Sermaye Kaybı Tespitine Esas Tutar=</t>
        </is>
      </c>
      <c r="C20" s="501">
        <f>(C6+C13)/2</f>
        <v/>
      </c>
      <c r="D20" s="501">
        <f>(D6+D13)/2</f>
        <v/>
      </c>
      <c r="E20" s="278" t="inlineStr">
        <is>
          <t>**</t>
        </is>
      </c>
      <c r="F20" s="279" t="inlineStr">
        <is>
          <t>B, A 'dan büyükse borca batıklıktan söz edilemez</t>
        </is>
      </c>
    </row>
    <row r="21" ht="15" customHeight="1">
      <c r="A21" s="277" t="inlineStr">
        <is>
          <t>C</t>
        </is>
      </c>
      <c r="B21" s="270" t="inlineStr">
        <is>
          <t>2/3 Sermaye Kaybı Tespitine Esas Tutar=</t>
        </is>
      </c>
      <c r="C21" s="501">
        <f>(C6+C13)/3*2</f>
        <v/>
      </c>
      <c r="D21" s="501">
        <f>(D6+D13)/3*2</f>
        <v/>
      </c>
      <c r="E21" s="278" t="inlineStr">
        <is>
          <t>***</t>
        </is>
      </c>
      <c r="F21" s="279" t="inlineStr">
        <is>
          <t>C, A 'dan büyükse borca batıklıktan söz edilemez</t>
        </is>
      </c>
    </row>
  </sheetData>
  <mergeCells count="2">
    <mergeCell ref="B3:D3"/>
    <mergeCell ref="B2:D2"/>
  </mergeCells>
  <hyperlinks>
    <hyperlink ref="A1" location="'ANA SAYFA'!A1" display="ANASAYFA"/>
  </hyperlinks>
  <pageMargins left="0.25" right="0.25" top="0.75" bottom="0.75" header="0.3" footer="0.3"/>
  <pageSetup orientation="landscape" paperSize="9"/>
</worksheet>
</file>

<file path=xl/worksheets/sheet10.xml><?xml version="1.0" encoding="utf-8"?>
<worksheet xmlns="http://schemas.openxmlformats.org/spreadsheetml/2006/main">
  <sheetPr>
    <tabColor theme="0"/>
    <outlinePr summaryBelow="1" summaryRight="1"/>
    <pageSetUpPr fitToPage="1"/>
  </sheetPr>
  <dimension ref="A1:F30"/>
  <sheetViews>
    <sheetView showGridLines="0" zoomScale="115" zoomScaleNormal="115" workbookViewId="0">
      <pane ySplit="5" topLeftCell="A6" activePane="bottomLeft" state="frozen"/>
      <selection activeCell="E22" sqref="E22"/>
      <selection pane="bottomLeft" activeCell="H17" sqref="H17"/>
    </sheetView>
  </sheetViews>
  <sheetFormatPr baseColWidth="8" defaultColWidth="9.140625" defaultRowHeight="12.75"/>
  <cols>
    <col width="9.140625" customWidth="1" style="1" min="1" max="1"/>
    <col width="39.140625" customWidth="1" style="1" min="2" max="2"/>
    <col width="32.140625" customWidth="1" style="1" min="3" max="4"/>
    <col width="11.7109375" bestFit="1" customWidth="1" style="1" min="5" max="5"/>
    <col width="22.140625" bestFit="1" customWidth="1" style="1" min="6" max="6"/>
    <col width="9.140625" customWidth="1" style="1" min="7" max="16384"/>
  </cols>
  <sheetData>
    <row r="1" ht="14.25" customHeight="1">
      <c r="A1" s="250" t="n"/>
      <c r="B1" s="12" t="inlineStr">
        <is>
          <t>ANASAYFA</t>
        </is>
      </c>
      <c r="C1" s="79" t="n"/>
      <c r="D1" s="81" t="inlineStr">
        <is>
          <t>SYF.8</t>
        </is>
      </c>
    </row>
    <row r="2" ht="13.5" customHeight="1" thickBot="1"/>
    <row r="3">
      <c r="B3" s="471" t="inlineStr">
        <is>
          <t>KİK ORANLARI</t>
        </is>
      </c>
      <c r="C3" s="452" t="n"/>
      <c r="D3" s="453" t="n"/>
    </row>
    <row r="4" ht="13.5" customHeight="1" thickBot="1">
      <c r="B4" s="343" t="n"/>
      <c r="C4" s="469" t="n"/>
      <c r="D4" s="470" t="n"/>
    </row>
    <row r="5">
      <c r="B5" s="251" t="inlineStr">
        <is>
          <t>Yıl / Yıllar</t>
        </is>
      </c>
      <c r="C5" s="502">
        <f>'BİLANÇO ANALİZİ'!D6</f>
        <v/>
      </c>
      <c r="D5" s="502">
        <f>'BİLANÇO ANALİZİ'!F6</f>
        <v/>
      </c>
    </row>
    <row r="6">
      <c r="B6" s="252" t="inlineStr">
        <is>
          <t xml:space="preserve">Dönen Varlıklar </t>
        </is>
      </c>
      <c r="C6" s="253">
        <f>'BİLANÇO ANALİZİ'!D7</f>
        <v/>
      </c>
      <c r="D6" s="254">
        <f>'BİLANÇO ANALİZİ'!F7</f>
        <v/>
      </c>
    </row>
    <row r="7">
      <c r="B7" s="252" t="inlineStr">
        <is>
          <t xml:space="preserve">Kısa Vadeli Borçlar </t>
        </is>
      </c>
      <c r="C7" s="253">
        <f>'BİLANÇO ANALİZİ'!D33</f>
        <v/>
      </c>
      <c r="D7" s="254">
        <f>'BİLANÇO ANALİZİ'!F33</f>
        <v/>
      </c>
    </row>
    <row r="8">
      <c r="B8" s="252" t="inlineStr">
        <is>
          <t>Öz Kaynaklar</t>
        </is>
      </c>
      <c r="C8" s="253">
        <f>'BİLANÇO ANALİZİ'!D53</f>
        <v/>
      </c>
      <c r="D8" s="254">
        <f>'BİLANÇO ANALİZİ'!F53</f>
        <v/>
      </c>
    </row>
    <row r="9">
      <c r="B9" s="252" t="inlineStr">
        <is>
          <t xml:space="preserve">Toplam Aktif </t>
        </is>
      </c>
      <c r="C9" s="253">
        <f>'BİLANÇO ANALİZİ'!D30</f>
        <v/>
      </c>
      <c r="D9" s="254">
        <f>'BİLANÇO ANALİZİ'!F30</f>
        <v/>
      </c>
      <c r="E9" s="255" t="n"/>
    </row>
    <row r="10">
      <c r="B10" s="252" t="inlineStr">
        <is>
          <t>Yıllara Yaygın İnşaat Maliyetleri (Varsa)</t>
        </is>
      </c>
      <c r="C10" s="253">
        <f>BİLANÇO!D49</f>
        <v/>
      </c>
      <c r="D10" s="254">
        <f>BİLANÇO!E49</f>
        <v/>
      </c>
    </row>
    <row r="11">
      <c r="B11" s="252" t="inlineStr">
        <is>
          <t>Kısa Vadeli Banka Borçları</t>
        </is>
      </c>
      <c r="C11" s="253">
        <f>BİLANÇO!H10</f>
        <v/>
      </c>
      <c r="D11" s="254">
        <f>BİLANÇO!I10</f>
        <v/>
      </c>
    </row>
    <row r="12" ht="13.5" customHeight="1" thickBot="1">
      <c r="B12" s="256" t="inlineStr">
        <is>
          <t>Yıllara Yaygın İnşaat Hakediş Gelirleri (Varsa)</t>
        </is>
      </c>
      <c r="C12" s="257">
        <f>BİLANÇO!H37</f>
        <v/>
      </c>
      <c r="D12" s="258">
        <f>BİLANÇO!I37</f>
        <v/>
      </c>
    </row>
    <row r="13" ht="13.5" customHeight="1" thickBot="1"/>
    <row r="14" ht="15.75" customHeight="1" thickBot="1">
      <c r="B14" s="471" t="inlineStr">
        <is>
          <t>BİLANÇO ORANLARI</t>
        </is>
      </c>
      <c r="C14" s="472" t="n"/>
      <c r="D14" s="472" t="n"/>
      <c r="E14" s="472" t="n"/>
      <c r="F14" s="473" t="n"/>
    </row>
    <row r="15">
      <c r="B15" s="259" t="inlineStr">
        <is>
          <t>Yıllar</t>
        </is>
      </c>
      <c r="C15" s="502">
        <f>C5</f>
        <v/>
      </c>
      <c r="D15" s="502">
        <f>D5</f>
        <v/>
      </c>
      <c r="E15" s="260" t="inlineStr">
        <is>
          <t>ORTALAMA</t>
        </is>
      </c>
      <c r="F15" s="261" t="inlineStr">
        <is>
          <t>YETERLİK KRİTERLERİ</t>
        </is>
      </c>
    </row>
    <row r="16">
      <c r="B16" s="442" t="inlineStr">
        <is>
          <t>Cari Oran                                                                                                (Dönen Varlıklar/ Kısa Vadeli Borçlar)</t>
        </is>
      </c>
      <c r="C16" s="443">
        <f>(C6-C10)/(C7-C12)</f>
        <v/>
      </c>
      <c r="D16" s="443">
        <f>(D6-D10)/(D7-D12)</f>
        <v/>
      </c>
      <c r="E16" s="443">
        <f>((C6+D6)-(C10+D10))/((C7+D7)-(C12+D12))</f>
        <v/>
      </c>
      <c r="F16" s="444" t="inlineStr">
        <is>
          <t xml:space="preserve">En az 0,75 olması </t>
        </is>
      </c>
    </row>
    <row r="17">
      <c r="B17" s="485" t="n"/>
      <c r="C17" s="503" t="n"/>
      <c r="D17" s="503" t="n"/>
      <c r="E17" s="503" t="n"/>
      <c r="F17" s="504" t="n"/>
    </row>
    <row r="18">
      <c r="B18" s="442" t="inlineStr">
        <is>
          <t>Öz Kaynak Oranı                                                                                    (Öz Kaynaklar/Toplam Aktif)</t>
        </is>
      </c>
      <c r="C18" s="445">
        <f>C8/(C9-C10)</f>
        <v/>
      </c>
      <c r="D18" s="445">
        <f>D8/(D9-D10)</f>
        <v/>
      </c>
      <c r="E18" s="443">
        <f>(C8+D8)/((C9+D9)-(C10+D10))</f>
        <v/>
      </c>
      <c r="F18" s="444" t="inlineStr">
        <is>
          <t xml:space="preserve">En az 0,15 olması </t>
        </is>
      </c>
    </row>
    <row r="19">
      <c r="B19" s="485" t="n"/>
      <c r="C19" s="503" t="n"/>
      <c r="D19" s="503" t="n"/>
      <c r="E19" s="503" t="n"/>
      <c r="F19" s="504" t="n"/>
    </row>
    <row r="20">
      <c r="B20" s="505" t="inlineStr">
        <is>
          <t>Kısa Vadeli Banka Borçları/Öz Kaynaklar</t>
        </is>
      </c>
      <c r="C20" s="443">
        <f>C11/C8</f>
        <v/>
      </c>
      <c r="D20" s="443">
        <f>D11/D8</f>
        <v/>
      </c>
      <c r="E20" s="443">
        <f>(C11+D11)/(C8+D8)</f>
        <v/>
      </c>
      <c r="F20" s="444" t="inlineStr">
        <is>
          <t>0,50'den küçük olması</t>
        </is>
      </c>
    </row>
    <row r="21" ht="13.5" customHeight="1" thickBot="1">
      <c r="B21" s="506" t="n"/>
      <c r="C21" s="503" t="n"/>
      <c r="D21" s="503" t="n"/>
      <c r="E21" s="503" t="n"/>
      <c r="F21" s="504" t="n"/>
    </row>
    <row r="22"/>
    <row r="23" ht="32.25" customHeight="1">
      <c r="B23" s="262" t="inlineStr">
        <is>
          <t xml:space="preserve">Cari oran hesaplanırken yıllara yaygın inşaat maliyetleri dönen varlıklardan; yıllara yaygın inşaat hakediş gelirleri ise kısa vadeli borçlardan düşülecektir. </t>
        </is>
      </c>
      <c r="D23" s="255" t="n"/>
    </row>
    <row r="24" ht="21.75" customHeight="1">
      <c r="B24" s="262" t="inlineStr">
        <is>
          <t>Öz kaynak oranı hesaplanırken yıllara yaygın inşaat maliyetleri toplam aktiflerden düşülecektir.</t>
        </is>
      </c>
    </row>
    <row r="26" ht="42.75" customHeight="1">
      <c r="B26" s="264" t="inlineStr">
        <is>
          <t>Ortalama değerlerin kullanılabilmesi için ihale yönetmeliğine bakılması gerekir.
Mal ve hizmet alım ihalelelerinde son 2 yıl
Yapım işi ihalelerinde son 3 yıl ortalaması kullanılabilir</t>
        </is>
      </c>
    </row>
    <row r="30">
      <c r="D30" s="2" t="n"/>
    </row>
  </sheetData>
  <mergeCells count="17">
    <mergeCell ref="D18:D19"/>
    <mergeCell ref="B18:B19"/>
    <mergeCell ref="B3:D4"/>
    <mergeCell ref="C20:C21"/>
    <mergeCell ref="E18:E19"/>
    <mergeCell ref="F20:F21"/>
    <mergeCell ref="E20:E21"/>
    <mergeCell ref="D20:D21"/>
    <mergeCell ref="B14:F14"/>
    <mergeCell ref="D16:D17"/>
    <mergeCell ref="B16:B17"/>
    <mergeCell ref="B20:B21"/>
    <mergeCell ref="E16:E17"/>
    <mergeCell ref="C16:C17"/>
    <mergeCell ref="C18:C19"/>
    <mergeCell ref="F16:F17"/>
    <mergeCell ref="F18:F19"/>
  </mergeCells>
  <hyperlinks>
    <hyperlink ref="B1" location="'ANA SAYFA'!A1" display="ANASAYFA"/>
  </hyperlinks>
  <pageMargins left="0.25" right="0.25" top="0.75" bottom="0.75" header="0.3" footer="0.3"/>
  <pageSetup orientation="landscape" paperSize="9" scale="94"/>
  <legacyDrawing xmlns:r="http://schemas.openxmlformats.org/officeDocument/2006/relationships" r:id="anysvml"/>
</worksheet>
</file>

<file path=xl/worksheets/sheet11.xml><?xml version="1.0" encoding="utf-8"?>
<worksheet xmlns="http://schemas.openxmlformats.org/spreadsheetml/2006/main">
  <sheetPr>
    <tabColor theme="0"/>
    <outlinePr summaryBelow="1" summaryRight="1"/>
    <pageSetUpPr/>
  </sheetPr>
  <dimension ref="A1:F947"/>
  <sheetViews>
    <sheetView showGridLines="0" zoomScaleNormal="100" workbookViewId="0">
      <selection activeCell="A1" sqref="A1:XFD1048576"/>
    </sheetView>
  </sheetViews>
  <sheetFormatPr baseColWidth="8" defaultColWidth="8.7109375" defaultRowHeight="12.75"/>
  <cols>
    <col width="16.7109375" customWidth="1" style="297" min="1" max="1"/>
    <col width="56.140625" customWidth="1" style="297" min="2" max="2"/>
    <col width="13.7109375" customWidth="1" style="297" min="3" max="6"/>
    <col width="9.140625" customWidth="1" style="297" min="7" max="256"/>
    <col width="16.7109375" customWidth="1" min="257" max="257"/>
    <col width="56.140625" customWidth="1" min="258" max="258"/>
    <col width="13.7109375" customWidth="1" min="259" max="262"/>
    <col width="16.7109375" customWidth="1" min="513" max="513"/>
    <col width="56.140625" customWidth="1" min="514" max="514"/>
    <col width="13.7109375" customWidth="1" min="515" max="518"/>
    <col width="16.7109375" customWidth="1" min="769" max="769"/>
    <col width="56.140625" customWidth="1" min="770" max="770"/>
    <col width="13.7109375" customWidth="1" min="771" max="774"/>
    <col width="16.7109375" customWidth="1" min="1025" max="1025"/>
    <col width="56.140625" customWidth="1" min="1026" max="1026"/>
    <col width="13.7109375" customWidth="1" min="1027" max="1030"/>
    <col width="16.7109375" customWidth="1" min="1281" max="1281"/>
    <col width="56.140625" customWidth="1" min="1282" max="1282"/>
    <col width="13.7109375" customWidth="1" min="1283" max="1286"/>
    <col width="16.7109375" customWidth="1" min="1537" max="1537"/>
    <col width="56.140625" customWidth="1" min="1538" max="1538"/>
    <col width="13.7109375" customWidth="1" min="1539" max="1542"/>
    <col width="16.7109375" customWidth="1" min="1793" max="1793"/>
    <col width="56.140625" customWidth="1" min="1794" max="1794"/>
    <col width="13.7109375" customWidth="1" min="1795" max="1798"/>
    <col width="16.7109375" customWidth="1" min="2049" max="2049"/>
    <col width="56.140625" customWidth="1" min="2050" max="2050"/>
    <col width="13.7109375" customWidth="1" min="2051" max="2054"/>
    <col width="16.7109375" customWidth="1" min="2305" max="2305"/>
    <col width="56.140625" customWidth="1" min="2306" max="2306"/>
    <col width="13.7109375" customWidth="1" min="2307" max="2310"/>
    <col width="16.7109375" customWidth="1" min="2561" max="2561"/>
    <col width="56.140625" customWidth="1" min="2562" max="2562"/>
    <col width="13.7109375" customWidth="1" min="2563" max="2566"/>
    <col width="16.7109375" customWidth="1" min="2817" max="2817"/>
    <col width="56.140625" customWidth="1" min="2818" max="2818"/>
    <col width="13.7109375" customWidth="1" min="2819" max="2822"/>
    <col width="16.7109375" customWidth="1" min="3073" max="3073"/>
    <col width="56.140625" customWidth="1" min="3074" max="3074"/>
    <col width="13.7109375" customWidth="1" min="3075" max="3078"/>
    <col width="16.7109375" customWidth="1" min="3329" max="3329"/>
    <col width="56.140625" customWidth="1" min="3330" max="3330"/>
    <col width="13.7109375" customWidth="1" min="3331" max="3334"/>
    <col width="16.7109375" customWidth="1" min="3585" max="3585"/>
    <col width="56.140625" customWidth="1" min="3586" max="3586"/>
    <col width="13.7109375" customWidth="1" min="3587" max="3590"/>
    <col width="16.7109375" customWidth="1" min="3841" max="3841"/>
    <col width="56.140625" customWidth="1" min="3842" max="3842"/>
    <col width="13.7109375" customWidth="1" min="3843" max="3846"/>
    <col width="16.7109375" customWidth="1" min="4097" max="4097"/>
    <col width="56.140625" customWidth="1" min="4098" max="4098"/>
    <col width="13.7109375" customWidth="1" min="4099" max="4102"/>
    <col width="16.7109375" customWidth="1" min="4353" max="4353"/>
    <col width="56.140625" customWidth="1" min="4354" max="4354"/>
    <col width="13.7109375" customWidth="1" min="4355" max="4358"/>
    <col width="16.7109375" customWidth="1" min="4609" max="4609"/>
    <col width="56.140625" customWidth="1" min="4610" max="4610"/>
    <col width="13.7109375" customWidth="1" min="4611" max="4614"/>
    <col width="16.7109375" customWidth="1" min="4865" max="4865"/>
    <col width="56.140625" customWidth="1" min="4866" max="4866"/>
    <col width="13.7109375" customWidth="1" min="4867" max="4870"/>
    <col width="16.7109375" customWidth="1" min="5121" max="5121"/>
    <col width="56.140625" customWidth="1" min="5122" max="5122"/>
    <col width="13.7109375" customWidth="1" min="5123" max="5126"/>
    <col width="16.7109375" customWidth="1" min="5377" max="5377"/>
    <col width="56.140625" customWidth="1" min="5378" max="5378"/>
    <col width="13.7109375" customWidth="1" min="5379" max="5382"/>
    <col width="16.7109375" customWidth="1" min="5633" max="5633"/>
    <col width="56.140625" customWidth="1" min="5634" max="5634"/>
    <col width="13.7109375" customWidth="1" min="5635" max="5638"/>
    <col width="16.7109375" customWidth="1" min="5889" max="5889"/>
    <col width="56.140625" customWidth="1" min="5890" max="5890"/>
    <col width="13.7109375" customWidth="1" min="5891" max="5894"/>
    <col width="16.7109375" customWidth="1" min="6145" max="6145"/>
    <col width="56.140625" customWidth="1" min="6146" max="6146"/>
    <col width="13.7109375" customWidth="1" min="6147" max="6150"/>
    <col width="16.7109375" customWidth="1" min="6401" max="6401"/>
    <col width="56.140625" customWidth="1" min="6402" max="6402"/>
    <col width="13.7109375" customWidth="1" min="6403" max="6406"/>
    <col width="16.7109375" customWidth="1" min="6657" max="6657"/>
    <col width="56.140625" customWidth="1" min="6658" max="6658"/>
    <col width="13.7109375" customWidth="1" min="6659" max="6662"/>
    <col width="16.7109375" customWidth="1" min="6913" max="6913"/>
    <col width="56.140625" customWidth="1" min="6914" max="6914"/>
    <col width="13.7109375" customWidth="1" min="6915" max="6918"/>
    <col width="16.7109375" customWidth="1" min="7169" max="7169"/>
    <col width="56.140625" customWidth="1" min="7170" max="7170"/>
    <col width="13.7109375" customWidth="1" min="7171" max="7174"/>
    <col width="16.7109375" customWidth="1" min="7425" max="7425"/>
    <col width="56.140625" customWidth="1" min="7426" max="7426"/>
    <col width="13.7109375" customWidth="1" min="7427" max="7430"/>
    <col width="16.7109375" customWidth="1" min="7681" max="7681"/>
    <col width="56.140625" customWidth="1" min="7682" max="7682"/>
    <col width="13.7109375" customWidth="1" min="7683" max="7686"/>
    <col width="16.7109375" customWidth="1" min="7937" max="7937"/>
    <col width="56.140625" customWidth="1" min="7938" max="7938"/>
    <col width="13.7109375" customWidth="1" min="7939" max="7942"/>
    <col width="16.7109375" customWidth="1" min="8193" max="8193"/>
    <col width="56.140625" customWidth="1" min="8194" max="8194"/>
    <col width="13.7109375" customWidth="1" min="8195" max="8198"/>
    <col width="16.7109375" customWidth="1" min="8449" max="8449"/>
    <col width="56.140625" customWidth="1" min="8450" max="8450"/>
    <col width="13.7109375" customWidth="1" min="8451" max="8454"/>
    <col width="16.7109375" customWidth="1" min="8705" max="8705"/>
    <col width="56.140625" customWidth="1" min="8706" max="8706"/>
    <col width="13.7109375" customWidth="1" min="8707" max="8710"/>
    <col width="16.7109375" customWidth="1" min="8961" max="8961"/>
    <col width="56.140625" customWidth="1" min="8962" max="8962"/>
    <col width="13.7109375" customWidth="1" min="8963" max="8966"/>
    <col width="16.7109375" customWidth="1" min="9217" max="9217"/>
    <col width="56.140625" customWidth="1" min="9218" max="9218"/>
    <col width="13.7109375" customWidth="1" min="9219" max="9222"/>
    <col width="16.7109375" customWidth="1" min="9473" max="9473"/>
    <col width="56.140625" customWidth="1" min="9474" max="9474"/>
    <col width="13.7109375" customWidth="1" min="9475" max="9478"/>
    <col width="16.7109375" customWidth="1" min="9729" max="9729"/>
    <col width="56.140625" customWidth="1" min="9730" max="9730"/>
    <col width="13.7109375" customWidth="1" min="9731" max="9734"/>
    <col width="16.7109375" customWidth="1" min="9985" max="9985"/>
    <col width="56.140625" customWidth="1" min="9986" max="9986"/>
    <col width="13.7109375" customWidth="1" min="9987" max="9990"/>
    <col width="16.7109375" customWidth="1" min="10241" max="10241"/>
    <col width="56.140625" customWidth="1" min="10242" max="10242"/>
    <col width="13.7109375" customWidth="1" min="10243" max="10246"/>
    <col width="16.7109375" customWidth="1" min="10497" max="10497"/>
    <col width="56.140625" customWidth="1" min="10498" max="10498"/>
    <col width="13.7109375" customWidth="1" min="10499" max="10502"/>
    <col width="16.7109375" customWidth="1" min="10753" max="10753"/>
    <col width="56.140625" customWidth="1" min="10754" max="10754"/>
    <col width="13.7109375" customWidth="1" min="10755" max="10758"/>
    <col width="16.7109375" customWidth="1" min="11009" max="11009"/>
    <col width="56.140625" customWidth="1" min="11010" max="11010"/>
    <col width="13.7109375" customWidth="1" min="11011" max="11014"/>
    <col width="16.7109375" customWidth="1" min="11265" max="11265"/>
    <col width="56.140625" customWidth="1" min="11266" max="11266"/>
    <col width="13.7109375" customWidth="1" min="11267" max="11270"/>
    <col width="16.7109375" customWidth="1" min="11521" max="11521"/>
    <col width="56.140625" customWidth="1" min="11522" max="11522"/>
    <col width="13.7109375" customWidth="1" min="11523" max="11526"/>
    <col width="16.7109375" customWidth="1" min="11777" max="11777"/>
    <col width="56.140625" customWidth="1" min="11778" max="11778"/>
    <col width="13.7109375" customWidth="1" min="11779" max="11782"/>
    <col width="16.7109375" customWidth="1" min="12033" max="12033"/>
    <col width="56.140625" customWidth="1" min="12034" max="12034"/>
    <col width="13.7109375" customWidth="1" min="12035" max="12038"/>
    <col width="16.7109375" customWidth="1" min="12289" max="12289"/>
    <col width="56.140625" customWidth="1" min="12290" max="12290"/>
    <col width="13.7109375" customWidth="1" min="12291" max="12294"/>
    <col width="16.7109375" customWidth="1" min="12545" max="12545"/>
    <col width="56.140625" customWidth="1" min="12546" max="12546"/>
    <col width="13.7109375" customWidth="1" min="12547" max="12550"/>
    <col width="16.7109375" customWidth="1" min="12801" max="12801"/>
    <col width="56.140625" customWidth="1" min="12802" max="12802"/>
    <col width="13.7109375" customWidth="1" min="12803" max="12806"/>
    <col width="16.7109375" customWidth="1" min="13057" max="13057"/>
    <col width="56.140625" customWidth="1" min="13058" max="13058"/>
    <col width="13.7109375" customWidth="1" min="13059" max="13062"/>
    <col width="16.7109375" customWidth="1" min="13313" max="13313"/>
    <col width="56.140625" customWidth="1" min="13314" max="13314"/>
    <col width="13.7109375" customWidth="1" min="13315" max="13318"/>
    <col width="16.7109375" customWidth="1" min="13569" max="13569"/>
    <col width="56.140625" customWidth="1" min="13570" max="13570"/>
    <col width="13.7109375" customWidth="1" min="13571" max="13574"/>
    <col width="16.7109375" customWidth="1" min="13825" max="13825"/>
    <col width="56.140625" customWidth="1" min="13826" max="13826"/>
    <col width="13.7109375" customWidth="1" min="13827" max="13830"/>
    <col width="16.7109375" customWidth="1" min="14081" max="14081"/>
    <col width="56.140625" customWidth="1" min="14082" max="14082"/>
    <col width="13.7109375" customWidth="1" min="14083" max="14086"/>
    <col width="16.7109375" customWidth="1" min="14337" max="14337"/>
    <col width="56.140625" customWidth="1" min="14338" max="14338"/>
    <col width="13.7109375" customWidth="1" min="14339" max="14342"/>
    <col width="16.7109375" customWidth="1" min="14593" max="14593"/>
    <col width="56.140625" customWidth="1" min="14594" max="14594"/>
    <col width="13.7109375" customWidth="1" min="14595" max="14598"/>
    <col width="16.7109375" customWidth="1" min="14849" max="14849"/>
    <col width="56.140625" customWidth="1" min="14850" max="14850"/>
    <col width="13.7109375" customWidth="1" min="14851" max="14854"/>
    <col width="16.7109375" customWidth="1" min="15105" max="15105"/>
    <col width="56.140625" customWidth="1" min="15106" max="15106"/>
    <col width="13.7109375" customWidth="1" min="15107" max="15110"/>
    <col width="16.7109375" customWidth="1" min="15361" max="15361"/>
    <col width="56.140625" customWidth="1" min="15362" max="15362"/>
    <col width="13.7109375" customWidth="1" min="15363" max="15366"/>
    <col width="16.7109375" customWidth="1" min="15617" max="15617"/>
    <col width="56.140625" customWidth="1" min="15618" max="15618"/>
    <col width="13.7109375" customWidth="1" min="15619" max="15622"/>
    <col width="16.7109375" customWidth="1" min="15873" max="15873"/>
    <col width="56.140625" customWidth="1" min="15874" max="15874"/>
    <col width="13.7109375" customWidth="1" min="15875" max="15878"/>
    <col width="16.7109375" customWidth="1" min="16129" max="16129"/>
    <col width="56.140625" customWidth="1" min="16130" max="16130"/>
    <col width="13.7109375" customWidth="1" min="16131" max="16134"/>
  </cols>
  <sheetData>
    <row r="1" customFormat="1" s="297">
      <c r="A1" s="306" t="n"/>
      <c r="B1" s="306" t="n"/>
      <c r="C1" s="306" t="n"/>
      <c r="D1" s="306" t="n"/>
      <c r="E1" s="306" t="n"/>
      <c r="F1" s="306" t="n"/>
    </row>
    <row r="2">
      <c r="A2" s="307" t="n"/>
      <c r="B2" s="307" t="n"/>
      <c r="C2" s="308" t="n"/>
      <c r="D2" s="308" t="n"/>
      <c r="E2" s="309" t="n"/>
      <c r="F2" s="308" t="n"/>
    </row>
    <row r="3">
      <c r="A3" s="307" t="n"/>
      <c r="B3" s="307" t="n"/>
      <c r="C3" s="308" t="n"/>
      <c r="D3" s="308" t="n"/>
      <c r="E3" s="309" t="n"/>
      <c r="F3" s="308" t="n"/>
    </row>
    <row r="4">
      <c r="A4" s="307" t="n"/>
      <c r="B4" s="307" t="n"/>
      <c r="C4" s="308" t="n"/>
      <c r="D4" s="308" t="n"/>
      <c r="E4" s="309" t="n"/>
      <c r="F4" s="308" t="n"/>
    </row>
    <row r="5">
      <c r="A5" s="307" t="n"/>
      <c r="B5" s="307" t="n"/>
      <c r="C5" s="308" t="n"/>
      <c r="D5" s="308" t="n"/>
      <c r="E5" s="309" t="n"/>
      <c r="F5" s="308" t="n"/>
    </row>
    <row r="6">
      <c r="C6" s="310" t="n"/>
      <c r="D6" s="310" t="n"/>
      <c r="E6" s="255" t="n"/>
      <c r="F6" s="310" t="n"/>
    </row>
    <row r="7">
      <c r="A7" s="307" t="n"/>
      <c r="B7" s="307" t="n"/>
      <c r="C7" s="308" t="n"/>
      <c r="D7" s="308" t="n"/>
      <c r="E7" s="309" t="n"/>
      <c r="F7" s="308" t="n"/>
    </row>
    <row r="8">
      <c r="A8" s="307" t="n"/>
      <c r="B8" s="307" t="n"/>
      <c r="C8" s="308" t="n"/>
      <c r="D8" s="308" t="n"/>
      <c r="E8" s="309" t="n"/>
      <c r="F8" s="308" t="n"/>
    </row>
    <row r="9">
      <c r="A9" s="307" t="n"/>
      <c r="B9" s="307" t="n"/>
      <c r="C9" s="308" t="n"/>
      <c r="D9" s="308" t="n"/>
      <c r="E9" s="309" t="n"/>
      <c r="F9" s="308" t="n"/>
    </row>
    <row r="10">
      <c r="A10" s="307" t="n"/>
      <c r="B10" s="307" t="n"/>
      <c r="C10" s="308" t="n"/>
      <c r="D10" s="308" t="n"/>
      <c r="E10" s="309" t="n"/>
      <c r="F10" s="308" t="n"/>
    </row>
    <row r="11">
      <c r="C11" s="310" t="n"/>
      <c r="D11" s="310" t="n"/>
      <c r="E11" s="255" t="n"/>
      <c r="F11" s="310" t="n"/>
    </row>
    <row r="12">
      <c r="C12" s="310" t="n"/>
      <c r="D12" s="310" t="n"/>
      <c r="E12" s="255" t="n"/>
      <c r="F12" s="310" t="n"/>
    </row>
    <row r="13">
      <c r="C13" s="310" t="n"/>
      <c r="D13" s="310" t="n"/>
      <c r="E13" s="255" t="n"/>
      <c r="F13" s="310" t="n"/>
    </row>
    <row r="14">
      <c r="C14" s="310" t="n"/>
      <c r="D14" s="310" t="n"/>
      <c r="E14" s="255" t="n"/>
      <c r="F14" s="310" t="n"/>
    </row>
    <row r="15">
      <c r="A15" s="307" t="n"/>
      <c r="B15" s="307" t="n"/>
      <c r="C15" s="308" t="n"/>
      <c r="D15" s="308" t="n"/>
      <c r="E15" s="309" t="n"/>
      <c r="F15" s="308" t="n"/>
    </row>
    <row r="16">
      <c r="A16" s="307" t="n"/>
      <c r="B16" s="307" t="n"/>
      <c r="C16" s="308" t="n"/>
      <c r="D16" s="308" t="n"/>
      <c r="E16" s="309" t="n"/>
      <c r="F16" s="308" t="n"/>
    </row>
    <row r="17">
      <c r="A17" s="307" t="n"/>
      <c r="B17" s="307" t="n"/>
      <c r="C17" s="308" t="n"/>
      <c r="D17" s="308" t="n"/>
      <c r="E17" s="309" t="n"/>
      <c r="F17" s="308" t="n"/>
    </row>
    <row r="18">
      <c r="A18" s="307" t="n"/>
      <c r="B18" s="307" t="n"/>
      <c r="C18" s="308" t="n"/>
      <c r="D18" s="308" t="n"/>
      <c r="E18" s="309" t="n"/>
      <c r="F18" s="308" t="n"/>
    </row>
    <row r="19">
      <c r="C19" s="310" t="n"/>
      <c r="D19" s="310" t="n"/>
      <c r="E19" s="255" t="n"/>
      <c r="F19" s="310" t="n"/>
    </row>
    <row r="20">
      <c r="C20" s="310" t="n"/>
      <c r="D20" s="310" t="n"/>
      <c r="E20" s="255" t="n"/>
      <c r="F20" s="310" t="n"/>
    </row>
    <row r="21">
      <c r="C21" s="310" t="n"/>
      <c r="D21" s="310" t="n"/>
      <c r="E21" s="255" t="n"/>
      <c r="F21" s="310" t="n"/>
    </row>
    <row r="22">
      <c r="A22" s="307" t="n"/>
      <c r="B22" s="307" t="n"/>
      <c r="C22" s="308" t="n"/>
      <c r="D22" s="308" t="n"/>
      <c r="E22" s="309" t="n"/>
      <c r="F22" s="308" t="n"/>
    </row>
    <row r="23">
      <c r="C23" s="310" t="n"/>
      <c r="D23" s="310" t="n"/>
      <c r="E23" s="255" t="n"/>
      <c r="F23" s="310" t="n"/>
    </row>
    <row r="24">
      <c r="A24" s="307" t="n"/>
      <c r="B24" s="307" t="n"/>
      <c r="C24" s="308" t="n"/>
      <c r="D24" s="308" t="n"/>
      <c r="E24" s="309" t="n"/>
      <c r="F24" s="308" t="n"/>
    </row>
    <row r="25">
      <c r="C25" s="310" t="n"/>
      <c r="D25" s="310" t="n"/>
      <c r="E25" s="255" t="n"/>
      <c r="F25" s="310" t="n"/>
    </row>
    <row r="26">
      <c r="C26" s="310" t="n"/>
      <c r="D26" s="310" t="n"/>
      <c r="E26" s="255" t="n"/>
      <c r="F26" s="310" t="n"/>
    </row>
    <row r="27">
      <c r="C27" s="310" t="n"/>
      <c r="D27" s="310" t="n"/>
      <c r="E27" s="255" t="n"/>
      <c r="F27" s="310" t="n"/>
    </row>
    <row r="28">
      <c r="C28" s="310" t="n"/>
      <c r="D28" s="310" t="n"/>
      <c r="E28" s="255" t="n"/>
      <c r="F28" s="310" t="n"/>
    </row>
    <row r="29">
      <c r="A29" s="307" t="n"/>
      <c r="B29" s="307" t="n"/>
      <c r="C29" s="308" t="n"/>
      <c r="D29" s="308" t="n"/>
      <c r="E29" s="309" t="n"/>
      <c r="F29" s="308" t="n"/>
    </row>
    <row r="30">
      <c r="C30" s="310" t="n"/>
      <c r="D30" s="310" t="n"/>
      <c r="E30" s="255" t="n"/>
      <c r="F30" s="310" t="n"/>
    </row>
    <row r="31">
      <c r="A31" s="307" t="n"/>
      <c r="B31" s="307" t="n"/>
      <c r="C31" s="308" t="n"/>
      <c r="D31" s="308" t="n"/>
      <c r="E31" s="309" t="n"/>
      <c r="F31" s="308" t="n"/>
    </row>
    <row r="32">
      <c r="C32" s="310" t="n"/>
      <c r="D32" s="310" t="n"/>
      <c r="E32" s="255" t="n"/>
      <c r="F32" s="310" t="n"/>
    </row>
    <row r="33">
      <c r="C33" s="310" t="n"/>
      <c r="D33" s="310" t="n"/>
      <c r="E33" s="255" t="n"/>
      <c r="F33" s="310" t="n"/>
    </row>
    <row r="34">
      <c r="A34" s="307" t="n"/>
      <c r="B34" s="307" t="n"/>
      <c r="C34" s="308" t="n"/>
      <c r="D34" s="308" t="n"/>
      <c r="E34" s="309" t="n"/>
      <c r="F34" s="308" t="n"/>
    </row>
    <row r="35">
      <c r="C35" s="310" t="n"/>
      <c r="D35" s="310" t="n"/>
      <c r="E35" s="255" t="n"/>
      <c r="F35" s="310" t="n"/>
    </row>
    <row r="36">
      <c r="A36" s="307" t="n"/>
      <c r="B36" s="307" t="n"/>
      <c r="C36" s="308" t="n"/>
      <c r="D36" s="308" t="n"/>
      <c r="E36" s="309" t="n"/>
      <c r="F36" s="308" t="n"/>
    </row>
    <row r="37">
      <c r="A37" s="307" t="n"/>
      <c r="B37" s="307" t="n"/>
      <c r="C37" s="308" t="n"/>
      <c r="D37" s="308" t="n"/>
      <c r="E37" s="309" t="n"/>
      <c r="F37" s="308" t="n"/>
    </row>
    <row r="38">
      <c r="C38" s="310" t="n"/>
      <c r="D38" s="310" t="n"/>
      <c r="E38" s="255" t="n"/>
      <c r="F38" s="310" t="n"/>
    </row>
    <row r="39">
      <c r="A39" s="307" t="n"/>
      <c r="B39" s="307" t="n"/>
      <c r="C39" s="308" t="n"/>
      <c r="D39" s="308" t="n"/>
      <c r="E39" s="309" t="n"/>
      <c r="F39" s="308" t="n"/>
    </row>
    <row r="40">
      <c r="A40" s="307" t="n"/>
      <c r="B40" s="307" t="n"/>
      <c r="C40" s="308" t="n"/>
      <c r="D40" s="308" t="n"/>
      <c r="E40" s="309" t="n"/>
      <c r="F40" s="308" t="n"/>
    </row>
    <row r="41">
      <c r="A41" s="307" t="n"/>
      <c r="B41" s="307" t="n"/>
      <c r="C41" s="308" t="n"/>
      <c r="D41" s="308" t="n"/>
      <c r="E41" s="309" t="n"/>
      <c r="F41" s="308" t="n"/>
    </row>
    <row r="42">
      <c r="A42" s="307" t="n"/>
      <c r="B42" s="307" t="n"/>
      <c r="C42" s="308" t="n"/>
      <c r="D42" s="308" t="n"/>
      <c r="E42" s="309" t="n"/>
      <c r="F42" s="308" t="n"/>
    </row>
    <row r="43">
      <c r="C43" s="310" t="n"/>
      <c r="D43" s="310" t="n"/>
      <c r="E43" s="255" t="n"/>
      <c r="F43" s="310" t="n"/>
    </row>
    <row r="44">
      <c r="C44" s="310" t="n"/>
      <c r="D44" s="310" t="n"/>
      <c r="E44" s="255" t="n"/>
      <c r="F44" s="310" t="n"/>
    </row>
    <row r="45">
      <c r="C45" s="310" t="n"/>
      <c r="D45" s="310" t="n"/>
      <c r="E45" s="255" t="n"/>
      <c r="F45" s="310" t="n"/>
    </row>
    <row r="46">
      <c r="C46" s="310" t="n"/>
      <c r="D46" s="310" t="n"/>
      <c r="E46" s="255" t="n"/>
      <c r="F46" s="310" t="n"/>
    </row>
    <row r="47">
      <c r="C47" s="310" t="n"/>
      <c r="D47" s="310" t="n"/>
      <c r="E47" s="255" t="n"/>
      <c r="F47" s="310" t="n"/>
    </row>
    <row r="48">
      <c r="C48" s="310" t="n"/>
      <c r="D48" s="310" t="n"/>
      <c r="E48" s="255" t="n"/>
      <c r="F48" s="310" t="n"/>
    </row>
    <row r="49">
      <c r="C49" s="310" t="n"/>
      <c r="D49" s="310" t="n"/>
      <c r="E49" s="255" t="n"/>
      <c r="F49" s="310" t="n"/>
    </row>
    <row r="50">
      <c r="C50" s="310" t="n"/>
      <c r="D50" s="310" t="n"/>
      <c r="E50" s="255" t="n"/>
      <c r="F50" s="310" t="n"/>
    </row>
    <row r="51">
      <c r="C51" s="310" t="n"/>
      <c r="D51" s="310" t="n"/>
      <c r="E51" s="255" t="n"/>
      <c r="F51" s="310" t="n"/>
    </row>
    <row r="52">
      <c r="C52" s="310" t="n"/>
      <c r="D52" s="310" t="n"/>
      <c r="E52" s="255" t="n"/>
      <c r="F52" s="310" t="n"/>
    </row>
    <row r="53">
      <c r="C53" s="310" t="n"/>
      <c r="D53" s="310" t="n"/>
      <c r="E53" s="255" t="n"/>
      <c r="F53" s="310" t="n"/>
    </row>
    <row r="54">
      <c r="C54" s="310" t="n"/>
      <c r="D54" s="310" t="n"/>
      <c r="E54" s="255" t="n"/>
      <c r="F54" s="310" t="n"/>
    </row>
    <row r="55">
      <c r="C55" s="310" t="n"/>
      <c r="D55" s="310" t="n"/>
      <c r="E55" s="255" t="n"/>
      <c r="F55" s="310" t="n"/>
    </row>
    <row r="56">
      <c r="C56" s="310" t="n"/>
      <c r="D56" s="310" t="n"/>
      <c r="E56" s="255" t="n"/>
      <c r="F56" s="310" t="n"/>
    </row>
    <row r="57">
      <c r="C57" s="310" t="n"/>
      <c r="D57" s="310" t="n"/>
      <c r="E57" s="255" t="n"/>
      <c r="F57" s="310" t="n"/>
    </row>
    <row r="58">
      <c r="C58" s="310" t="n"/>
      <c r="D58" s="310" t="n"/>
      <c r="E58" s="255" t="n"/>
      <c r="F58" s="310" t="n"/>
    </row>
    <row r="59">
      <c r="C59" s="310" t="n"/>
      <c r="D59" s="310" t="n"/>
      <c r="E59" s="255" t="n"/>
      <c r="F59" s="310" t="n"/>
    </row>
    <row r="60">
      <c r="C60" s="310" t="n"/>
      <c r="D60" s="310" t="n"/>
      <c r="E60" s="255" t="n"/>
      <c r="F60" s="310" t="n"/>
    </row>
    <row r="61">
      <c r="A61" s="307" t="n"/>
      <c r="B61" s="307" t="n"/>
      <c r="C61" s="308" t="n"/>
      <c r="D61" s="308" t="n"/>
      <c r="E61" s="309" t="n"/>
      <c r="F61" s="308" t="n"/>
    </row>
    <row r="62">
      <c r="A62" s="307" t="n"/>
      <c r="B62" s="307" t="n"/>
      <c r="C62" s="308" t="n"/>
      <c r="D62" s="308" t="n"/>
      <c r="E62" s="309" t="n"/>
      <c r="F62" s="308" t="n"/>
    </row>
    <row r="63">
      <c r="C63" s="310" t="n"/>
      <c r="D63" s="310" t="n"/>
      <c r="E63" s="255" t="n"/>
      <c r="F63" s="310" t="n"/>
    </row>
    <row r="64">
      <c r="C64" s="310" t="n"/>
      <c r="D64" s="310" t="n"/>
      <c r="E64" s="255" t="n"/>
      <c r="F64" s="310" t="n"/>
    </row>
    <row r="65">
      <c r="C65" s="310" t="n"/>
      <c r="D65" s="310" t="n"/>
      <c r="E65" s="255" t="n"/>
      <c r="F65" s="310" t="n"/>
    </row>
    <row r="66">
      <c r="C66" s="310" t="n"/>
      <c r="D66" s="310" t="n"/>
      <c r="E66" s="255" t="n"/>
      <c r="F66" s="310" t="n"/>
    </row>
    <row r="67">
      <c r="A67" s="307" t="n"/>
      <c r="B67" s="307" t="n"/>
      <c r="C67" s="308" t="n"/>
      <c r="D67" s="308" t="n"/>
      <c r="E67" s="309" t="n"/>
      <c r="F67" s="308" t="n"/>
    </row>
    <row r="68">
      <c r="A68" s="307" t="n"/>
      <c r="B68" s="307" t="n"/>
      <c r="C68" s="308" t="n"/>
      <c r="D68" s="308" t="n"/>
      <c r="E68" s="309" t="n"/>
      <c r="F68" s="308" t="n"/>
    </row>
    <row r="69">
      <c r="A69" s="307" t="n"/>
      <c r="B69" s="307" t="n"/>
      <c r="C69" s="308" t="n"/>
      <c r="D69" s="308" t="n"/>
      <c r="E69" s="309" t="n"/>
      <c r="F69" s="308" t="n"/>
    </row>
    <row r="70">
      <c r="A70" s="307" t="n"/>
      <c r="B70" s="307" t="n"/>
      <c r="C70" s="308" t="n"/>
      <c r="D70" s="308" t="n"/>
      <c r="E70" s="309" t="n"/>
      <c r="F70" s="308" t="n"/>
    </row>
    <row r="71">
      <c r="C71" s="310" t="n"/>
      <c r="D71" s="310" t="n"/>
      <c r="E71" s="255" t="n"/>
      <c r="F71" s="310" t="n"/>
    </row>
    <row r="72">
      <c r="C72" s="310" t="n"/>
      <c r="D72" s="310" t="n"/>
      <c r="E72" s="255" t="n"/>
      <c r="F72" s="310" t="n"/>
    </row>
    <row r="73">
      <c r="C73" s="310" t="n"/>
      <c r="D73" s="310" t="n"/>
      <c r="E73" s="255" t="n"/>
      <c r="F73" s="310" t="n"/>
    </row>
    <row r="74">
      <c r="A74" s="307" t="n"/>
      <c r="B74" s="307" t="n"/>
      <c r="C74" s="308" t="n"/>
      <c r="D74" s="308" t="n"/>
      <c r="E74" s="309" t="n"/>
      <c r="F74" s="308" t="n"/>
    </row>
    <row r="75">
      <c r="C75" s="310" t="n"/>
      <c r="D75" s="310" t="n"/>
      <c r="E75" s="255" t="n"/>
      <c r="F75" s="310" t="n"/>
    </row>
    <row r="76">
      <c r="A76" s="307" t="n"/>
      <c r="B76" s="307" t="n"/>
      <c r="C76" s="308" t="n"/>
      <c r="D76" s="308" t="n"/>
      <c r="E76" s="309" t="n"/>
      <c r="F76" s="308" t="n"/>
    </row>
    <row r="77">
      <c r="C77" s="310" t="n"/>
      <c r="D77" s="310" t="n"/>
      <c r="E77" s="255" t="n"/>
      <c r="F77" s="310" t="n"/>
    </row>
    <row r="78">
      <c r="A78" s="307" t="n"/>
      <c r="B78" s="307" t="n"/>
      <c r="C78" s="308" t="n"/>
      <c r="D78" s="308" t="n"/>
      <c r="E78" s="309" t="n"/>
      <c r="F78" s="308" t="n"/>
    </row>
    <row r="79">
      <c r="A79" s="307" t="n"/>
      <c r="B79" s="307" t="n"/>
      <c r="C79" s="308" t="n"/>
      <c r="D79" s="308" t="n"/>
      <c r="E79" s="309" t="n"/>
      <c r="F79" s="308" t="n"/>
    </row>
    <row r="80">
      <c r="A80" s="307" t="n"/>
      <c r="B80" s="307" t="n"/>
      <c r="C80" s="308" t="n"/>
      <c r="D80" s="308" t="n"/>
      <c r="E80" s="309" t="n"/>
      <c r="F80" s="308" t="n"/>
    </row>
    <row r="81">
      <c r="A81" s="307" t="n"/>
      <c r="B81" s="307" t="n"/>
      <c r="C81" s="308" t="n"/>
      <c r="D81" s="308" t="n"/>
      <c r="E81" s="309" t="n"/>
      <c r="F81" s="308" t="n"/>
    </row>
    <row r="82">
      <c r="C82" s="310" t="n"/>
      <c r="D82" s="310" t="n"/>
      <c r="E82" s="255" t="n"/>
      <c r="F82" s="310" t="n"/>
    </row>
    <row r="83">
      <c r="C83" s="310" t="n"/>
      <c r="D83" s="310" t="n"/>
      <c r="E83" s="255" t="n"/>
      <c r="F83" s="310" t="n"/>
    </row>
    <row r="84">
      <c r="A84" s="307" t="n"/>
      <c r="B84" s="307" t="n"/>
      <c r="C84" s="308" t="n"/>
      <c r="D84" s="308" t="n"/>
      <c r="E84" s="309" t="n"/>
      <c r="F84" s="308" t="n"/>
    </row>
    <row r="85">
      <c r="A85" s="307" t="n"/>
      <c r="B85" s="307" t="n"/>
      <c r="C85" s="308" t="n"/>
      <c r="D85" s="308" t="n"/>
      <c r="E85" s="309" t="n"/>
      <c r="F85" s="308" t="n"/>
    </row>
    <row r="86">
      <c r="A86" s="307" t="n"/>
      <c r="B86" s="307" t="n"/>
      <c r="C86" s="308" t="n"/>
      <c r="D86" s="308" t="n"/>
      <c r="E86" s="309" t="n"/>
      <c r="F86" s="308" t="n"/>
    </row>
    <row r="87">
      <c r="A87" s="307" t="n"/>
      <c r="B87" s="307" t="n"/>
      <c r="C87" s="308" t="n"/>
      <c r="D87" s="308" t="n"/>
      <c r="E87" s="309" t="n"/>
      <c r="F87" s="308" t="n"/>
    </row>
    <row r="88">
      <c r="C88" s="310" t="n"/>
      <c r="D88" s="310" t="n"/>
      <c r="E88" s="255" t="n"/>
      <c r="F88" s="310" t="n"/>
    </row>
    <row r="89">
      <c r="A89" s="307" t="n"/>
      <c r="B89" s="307" t="n"/>
      <c r="C89" s="308" t="n"/>
      <c r="D89" s="308" t="n"/>
      <c r="E89" s="309" t="n"/>
      <c r="F89" s="308" t="n"/>
    </row>
    <row r="90">
      <c r="A90" s="307" t="n"/>
      <c r="B90" s="307" t="n"/>
      <c r="C90" s="308" t="n"/>
      <c r="D90" s="308" t="n"/>
      <c r="E90" s="309" t="n"/>
      <c r="F90" s="308" t="n"/>
    </row>
    <row r="91">
      <c r="C91" s="310" t="n"/>
      <c r="D91" s="310" t="n"/>
      <c r="E91" s="255" t="n"/>
      <c r="F91" s="310" t="n"/>
    </row>
    <row r="92">
      <c r="C92" s="310" t="n"/>
      <c r="D92" s="310" t="n"/>
      <c r="E92" s="255" t="n"/>
      <c r="F92" s="310" t="n"/>
    </row>
    <row r="93">
      <c r="C93" s="310" t="n"/>
      <c r="D93" s="310" t="n"/>
      <c r="E93" s="255" t="n"/>
      <c r="F93" s="310" t="n"/>
    </row>
    <row r="94">
      <c r="A94" s="307" t="n"/>
      <c r="B94" s="307" t="n"/>
      <c r="C94" s="308" t="n"/>
      <c r="D94" s="308" t="n"/>
      <c r="E94" s="309" t="n"/>
      <c r="F94" s="308" t="n"/>
    </row>
    <row r="95">
      <c r="A95" s="307" t="n"/>
      <c r="B95" s="307" t="n"/>
      <c r="C95" s="308" t="n"/>
      <c r="D95" s="308" t="n"/>
      <c r="E95" s="309" t="n"/>
      <c r="F95" s="308" t="n"/>
    </row>
    <row r="96">
      <c r="C96" s="310" t="n"/>
      <c r="D96" s="310" t="n"/>
      <c r="E96" s="255" t="n"/>
      <c r="F96" s="310" t="n"/>
    </row>
    <row r="97">
      <c r="C97" s="310" t="n"/>
      <c r="D97" s="310" t="n"/>
      <c r="E97" s="255" t="n"/>
      <c r="F97" s="310" t="n"/>
    </row>
    <row r="98">
      <c r="C98" s="310" t="n"/>
      <c r="D98" s="310" t="n"/>
      <c r="E98" s="255" t="n"/>
      <c r="F98" s="310" t="n"/>
    </row>
    <row r="99">
      <c r="C99" s="310" t="n"/>
      <c r="D99" s="310" t="n"/>
      <c r="E99" s="255" t="n"/>
      <c r="F99" s="310" t="n"/>
    </row>
    <row r="100">
      <c r="C100" s="310" t="n"/>
      <c r="D100" s="310" t="n"/>
      <c r="E100" s="255" t="n"/>
      <c r="F100" s="310" t="n"/>
    </row>
    <row r="101">
      <c r="C101" s="310" t="n"/>
      <c r="D101" s="310" t="n"/>
      <c r="E101" s="255" t="n"/>
      <c r="F101" s="310" t="n"/>
    </row>
    <row r="102">
      <c r="A102" s="307" t="n"/>
      <c r="B102" s="307" t="n"/>
      <c r="C102" s="308" t="n"/>
      <c r="D102" s="308" t="n"/>
      <c r="E102" s="309" t="n"/>
      <c r="F102" s="308" t="n"/>
    </row>
    <row r="103">
      <c r="A103" s="307" t="n"/>
      <c r="B103" s="307" t="n"/>
      <c r="C103" s="308" t="n"/>
      <c r="D103" s="308" t="n"/>
      <c r="E103" s="309" t="n"/>
      <c r="F103" s="308" t="n"/>
    </row>
    <row r="104">
      <c r="A104" s="307" t="n"/>
      <c r="B104" s="307" t="n"/>
      <c r="C104" s="308" t="n"/>
      <c r="D104" s="308" t="n"/>
      <c r="E104" s="309" t="n"/>
      <c r="F104" s="308" t="n"/>
    </row>
    <row r="105">
      <c r="A105" s="307" t="n"/>
      <c r="B105" s="307" t="n"/>
      <c r="C105" s="308" t="n"/>
      <c r="D105" s="308" t="n"/>
      <c r="E105" s="309" t="n"/>
      <c r="F105" s="308" t="n"/>
    </row>
    <row r="106">
      <c r="C106" s="310" t="n"/>
      <c r="D106" s="310" t="n"/>
      <c r="E106" s="255" t="n"/>
      <c r="F106" s="310" t="n"/>
    </row>
    <row r="107">
      <c r="A107" s="307" t="n"/>
      <c r="B107" s="307" t="n"/>
      <c r="C107" s="308" t="n"/>
      <c r="D107" s="308" t="n"/>
      <c r="E107" s="309" t="n"/>
      <c r="F107" s="308" t="n"/>
    </row>
    <row r="108">
      <c r="A108" s="307" t="n"/>
      <c r="B108" s="307" t="n"/>
      <c r="C108" s="308" t="n"/>
      <c r="D108" s="308" t="n"/>
      <c r="E108" s="309" t="n"/>
      <c r="F108" s="308" t="n"/>
    </row>
    <row r="109">
      <c r="A109" s="307" t="n"/>
      <c r="B109" s="307" t="n"/>
      <c r="C109" s="308" t="n"/>
      <c r="D109" s="308" t="n"/>
      <c r="E109" s="309" t="n"/>
      <c r="F109" s="308" t="n"/>
    </row>
    <row r="110">
      <c r="A110" s="307" t="n"/>
      <c r="B110" s="307" t="n"/>
      <c r="C110" s="308" t="n"/>
      <c r="D110" s="308" t="n"/>
      <c r="E110" s="309" t="n"/>
      <c r="F110" s="308" t="n"/>
    </row>
    <row r="111">
      <c r="C111" s="310" t="n"/>
      <c r="D111" s="310" t="n"/>
      <c r="E111" s="255" t="n"/>
      <c r="F111" s="310" t="n"/>
    </row>
    <row r="112">
      <c r="A112" s="307" t="n"/>
      <c r="B112" s="307" t="n"/>
      <c r="C112" s="308" t="n"/>
      <c r="D112" s="308" t="n"/>
      <c r="E112" s="309" t="n"/>
      <c r="F112" s="308" t="n"/>
    </row>
    <row r="113">
      <c r="A113" s="307" t="n"/>
      <c r="B113" s="307" t="n"/>
      <c r="C113" s="308" t="n"/>
      <c r="D113" s="308" t="n"/>
      <c r="E113" s="309" t="n"/>
      <c r="F113" s="308" t="n"/>
    </row>
    <row r="114">
      <c r="A114" s="307" t="n"/>
      <c r="B114" s="307" t="n"/>
      <c r="C114" s="308" t="n"/>
      <c r="D114" s="308" t="n"/>
      <c r="E114" s="309" t="n"/>
      <c r="F114" s="308" t="n"/>
    </row>
    <row r="115">
      <c r="A115" s="307" t="n"/>
      <c r="B115" s="307" t="n"/>
      <c r="C115" s="308" t="n"/>
      <c r="D115" s="308" t="n"/>
      <c r="E115" s="309" t="n"/>
      <c r="F115" s="308" t="n"/>
    </row>
    <row r="116">
      <c r="C116" s="310" t="n"/>
      <c r="D116" s="310" t="n"/>
      <c r="E116" s="255" t="n"/>
      <c r="F116" s="310" t="n"/>
    </row>
    <row r="117">
      <c r="C117" s="310" t="n"/>
      <c r="D117" s="310" t="n"/>
      <c r="E117" s="255" t="n"/>
      <c r="F117" s="310" t="n"/>
    </row>
    <row r="118">
      <c r="C118" s="310" t="n"/>
      <c r="D118" s="310" t="n"/>
      <c r="E118" s="255" t="n"/>
      <c r="F118" s="310" t="n"/>
    </row>
    <row r="119">
      <c r="C119" s="310" t="n"/>
      <c r="D119" s="310" t="n"/>
      <c r="E119" s="255" t="n"/>
      <c r="F119" s="310" t="n"/>
    </row>
    <row r="120">
      <c r="C120" s="310" t="n"/>
      <c r="D120" s="310" t="n"/>
      <c r="E120" s="255" t="n"/>
      <c r="F120" s="310" t="n"/>
    </row>
    <row r="121">
      <c r="C121" s="310" t="n"/>
      <c r="D121" s="310" t="n"/>
      <c r="E121" s="255" t="n"/>
      <c r="F121" s="310" t="n"/>
    </row>
    <row r="122">
      <c r="C122" s="310" t="n"/>
      <c r="D122" s="310" t="n"/>
      <c r="E122" s="255" t="n"/>
      <c r="F122" s="310" t="n"/>
    </row>
    <row r="123">
      <c r="C123" s="310" t="n"/>
      <c r="D123" s="310" t="n"/>
      <c r="E123" s="255" t="n"/>
      <c r="F123" s="310" t="n"/>
    </row>
    <row r="124">
      <c r="C124" s="310" t="n"/>
      <c r="D124" s="310" t="n"/>
      <c r="E124" s="255" t="n"/>
      <c r="F124" s="310" t="n"/>
    </row>
    <row r="125">
      <c r="C125" s="310" t="n"/>
      <c r="D125" s="310" t="n"/>
      <c r="E125" s="255" t="n"/>
      <c r="F125" s="310" t="n"/>
    </row>
    <row r="126">
      <c r="C126" s="310" t="n"/>
      <c r="D126" s="310" t="n"/>
      <c r="E126" s="255" t="n"/>
      <c r="F126" s="310" t="n"/>
    </row>
    <row r="127">
      <c r="C127" s="310" t="n"/>
      <c r="D127" s="310" t="n"/>
      <c r="E127" s="255" t="n"/>
      <c r="F127" s="310" t="n"/>
    </row>
    <row r="128">
      <c r="C128" s="310" t="n"/>
      <c r="D128" s="310" t="n"/>
      <c r="E128" s="255" t="n"/>
      <c r="F128" s="310" t="n"/>
    </row>
    <row r="129">
      <c r="C129" s="310" t="n"/>
      <c r="D129" s="310" t="n"/>
      <c r="E129" s="255" t="n"/>
      <c r="F129" s="310" t="n"/>
    </row>
    <row r="130">
      <c r="C130" s="310" t="n"/>
      <c r="D130" s="310" t="n"/>
      <c r="E130" s="255" t="n"/>
      <c r="F130" s="310" t="n"/>
    </row>
    <row r="131">
      <c r="C131" s="310" t="n"/>
      <c r="D131" s="310" t="n"/>
      <c r="E131" s="255" t="n"/>
      <c r="F131" s="310" t="n"/>
    </row>
    <row r="132">
      <c r="A132" s="307" t="n"/>
      <c r="B132" s="307" t="n"/>
      <c r="C132" s="308" t="n"/>
      <c r="D132" s="308" t="n"/>
      <c r="E132" s="309" t="n"/>
      <c r="F132" s="308" t="n"/>
    </row>
    <row r="133">
      <c r="A133" s="307" t="n"/>
      <c r="B133" s="307" t="n"/>
      <c r="C133" s="308" t="n"/>
      <c r="D133" s="308" t="n"/>
      <c r="E133" s="309" t="n"/>
      <c r="F133" s="308" t="n"/>
    </row>
    <row r="134">
      <c r="A134" s="307" t="n"/>
      <c r="B134" s="307" t="n"/>
      <c r="C134" s="308" t="n"/>
      <c r="D134" s="308" t="n"/>
      <c r="E134" s="309" t="n"/>
      <c r="F134" s="308" t="n"/>
    </row>
    <row r="135">
      <c r="A135" s="307" t="n"/>
      <c r="B135" s="307" t="n"/>
      <c r="C135" s="308" t="n"/>
      <c r="D135" s="308" t="n"/>
      <c r="E135" s="309" t="n"/>
      <c r="F135" s="308" t="n"/>
    </row>
    <row r="136">
      <c r="C136" s="310" t="n"/>
      <c r="D136" s="310" t="n"/>
      <c r="E136" s="255" t="n"/>
      <c r="F136" s="310" t="n"/>
    </row>
    <row r="137">
      <c r="C137" s="310" t="n"/>
      <c r="D137" s="310" t="n"/>
      <c r="E137" s="255" t="n"/>
      <c r="F137" s="310" t="n"/>
    </row>
    <row r="138">
      <c r="C138" s="310" t="n"/>
      <c r="D138" s="310" t="n"/>
      <c r="E138" s="255" t="n"/>
      <c r="F138" s="310" t="n"/>
    </row>
    <row r="139">
      <c r="C139" s="310" t="n"/>
      <c r="D139" s="310" t="n"/>
      <c r="E139" s="255" t="n"/>
      <c r="F139" s="310" t="n"/>
    </row>
    <row r="140">
      <c r="C140" s="310" t="n"/>
      <c r="D140" s="310" t="n"/>
      <c r="E140" s="255" t="n"/>
      <c r="F140" s="310" t="n"/>
    </row>
    <row r="141">
      <c r="C141" s="310" t="n"/>
      <c r="D141" s="310" t="n"/>
      <c r="E141" s="255" t="n"/>
      <c r="F141" s="310" t="n"/>
    </row>
    <row r="142">
      <c r="C142" s="310" t="n"/>
      <c r="D142" s="310" t="n"/>
      <c r="E142" s="255" t="n"/>
      <c r="F142" s="310" t="n"/>
    </row>
    <row r="143">
      <c r="C143" s="310" t="n"/>
      <c r="D143" s="310" t="n"/>
      <c r="E143" s="255" t="n"/>
      <c r="F143" s="310" t="n"/>
    </row>
    <row r="144">
      <c r="C144" s="310" t="n"/>
      <c r="D144" s="310" t="n"/>
      <c r="E144" s="255" t="n"/>
      <c r="F144" s="310" t="n"/>
    </row>
    <row r="145">
      <c r="C145" s="310" t="n"/>
      <c r="D145" s="310" t="n"/>
      <c r="E145" s="255" t="n"/>
      <c r="F145" s="310" t="n"/>
    </row>
    <row r="146">
      <c r="C146" s="310" t="n"/>
      <c r="D146" s="310" t="n"/>
      <c r="E146" s="255" t="n"/>
      <c r="F146" s="310" t="n"/>
    </row>
    <row r="147">
      <c r="C147" s="310" t="n"/>
      <c r="D147" s="310" t="n"/>
      <c r="E147" s="255" t="n"/>
      <c r="F147" s="310" t="n"/>
    </row>
    <row r="148">
      <c r="A148" s="307" t="n"/>
      <c r="B148" s="307" t="n"/>
      <c r="C148" s="308" t="n"/>
      <c r="D148" s="308" t="n"/>
      <c r="E148" s="309" t="n"/>
      <c r="F148" s="308" t="n"/>
    </row>
    <row r="149">
      <c r="A149" s="307" t="n"/>
      <c r="B149" s="307" t="n"/>
      <c r="C149" s="308" t="n"/>
      <c r="D149" s="308" t="n"/>
      <c r="E149" s="309" t="n"/>
      <c r="F149" s="308" t="n"/>
    </row>
    <row r="150">
      <c r="A150" s="307" t="n"/>
      <c r="B150" s="307" t="n"/>
      <c r="C150" s="308" t="n"/>
      <c r="D150" s="308" t="n"/>
      <c r="E150" s="309" t="n"/>
      <c r="F150" s="308" t="n"/>
    </row>
    <row r="151">
      <c r="A151" s="307" t="n"/>
      <c r="B151" s="307" t="n"/>
      <c r="C151" s="308" t="n"/>
      <c r="D151" s="308" t="n"/>
      <c r="E151" s="309" t="n"/>
      <c r="F151" s="308" t="n"/>
    </row>
    <row r="152">
      <c r="C152" s="310" t="n"/>
      <c r="D152" s="310" t="n"/>
      <c r="E152" s="255" t="n"/>
      <c r="F152" s="310" t="n"/>
    </row>
    <row r="153">
      <c r="A153" s="307" t="n"/>
      <c r="B153" s="307" t="n"/>
      <c r="C153" s="308" t="n"/>
      <c r="D153" s="308" t="n"/>
      <c r="E153" s="309" t="n"/>
      <c r="F153" s="308" t="n"/>
    </row>
    <row r="154">
      <c r="A154" s="307" t="n"/>
      <c r="B154" s="307" t="n"/>
      <c r="C154" s="308" t="n"/>
      <c r="D154" s="308" t="n"/>
      <c r="E154" s="309" t="n"/>
      <c r="F154" s="308" t="n"/>
    </row>
    <row r="155">
      <c r="A155" s="307" t="n"/>
      <c r="B155" s="307" t="n"/>
      <c r="C155" s="308" t="n"/>
      <c r="D155" s="308" t="n"/>
      <c r="E155" s="309" t="n"/>
      <c r="F155" s="308" t="n"/>
    </row>
    <row r="156">
      <c r="A156" s="307" t="n"/>
      <c r="B156" s="307" t="n"/>
      <c r="C156" s="308" t="n"/>
      <c r="D156" s="308" t="n"/>
      <c r="E156" s="309" t="n"/>
      <c r="F156" s="308" t="n"/>
    </row>
    <row r="157">
      <c r="C157" s="310" t="n"/>
      <c r="D157" s="310" t="n"/>
      <c r="E157" s="255" t="n"/>
      <c r="F157" s="310" t="n"/>
    </row>
    <row r="158">
      <c r="C158" s="310" t="n"/>
      <c r="D158" s="310" t="n"/>
      <c r="E158" s="255" t="n"/>
      <c r="F158" s="310" t="n"/>
    </row>
    <row r="159">
      <c r="C159" s="310" t="n"/>
      <c r="D159" s="310" t="n"/>
      <c r="E159" s="255" t="n"/>
      <c r="F159" s="310" t="n"/>
    </row>
    <row r="160">
      <c r="C160" s="310" t="n"/>
      <c r="D160" s="310" t="n"/>
      <c r="E160" s="255" t="n"/>
      <c r="F160" s="310" t="n"/>
    </row>
    <row r="161">
      <c r="A161" s="307" t="n"/>
      <c r="B161" s="307" t="n"/>
      <c r="C161" s="308" t="n"/>
      <c r="D161" s="308" t="n"/>
      <c r="E161" s="309" t="n"/>
      <c r="F161" s="308" t="n"/>
    </row>
    <row r="162">
      <c r="A162" s="307" t="n"/>
      <c r="B162" s="307" t="n"/>
      <c r="C162" s="308" t="n"/>
      <c r="D162" s="308" t="n"/>
      <c r="E162" s="309" t="n"/>
      <c r="F162" s="308" t="n"/>
    </row>
    <row r="163">
      <c r="C163" s="310" t="n"/>
      <c r="D163" s="310" t="n"/>
      <c r="E163" s="255" t="n"/>
      <c r="F163" s="310" t="n"/>
    </row>
    <row r="164">
      <c r="A164" s="307" t="n"/>
      <c r="B164" s="307" t="n"/>
      <c r="C164" s="308" t="n"/>
      <c r="D164" s="308" t="n"/>
      <c r="E164" s="309" t="n"/>
      <c r="F164" s="308" t="n"/>
    </row>
    <row r="165">
      <c r="A165" s="307" t="n"/>
      <c r="B165" s="307" t="n"/>
      <c r="C165" s="308" t="n"/>
      <c r="D165" s="308" t="n"/>
      <c r="E165" s="309" t="n"/>
      <c r="F165" s="308" t="n"/>
    </row>
    <row r="166">
      <c r="A166" s="307" t="n"/>
      <c r="B166" s="307" t="n"/>
      <c r="C166" s="308" t="n"/>
      <c r="D166" s="308" t="n"/>
      <c r="E166" s="309" t="n"/>
      <c r="F166" s="308" t="n"/>
    </row>
    <row r="167">
      <c r="A167" s="307" t="n"/>
      <c r="B167" s="307" t="n"/>
      <c r="C167" s="308" t="n"/>
      <c r="D167" s="308" t="n"/>
      <c r="E167" s="309" t="n"/>
      <c r="F167" s="308" t="n"/>
    </row>
    <row r="168">
      <c r="C168" s="310" t="n"/>
      <c r="D168" s="310" t="n"/>
      <c r="E168" s="255" t="n"/>
      <c r="F168" s="310" t="n"/>
    </row>
    <row r="169">
      <c r="C169" s="310" t="n"/>
      <c r="D169" s="310" t="n"/>
      <c r="E169" s="255" t="n"/>
      <c r="F169" s="310" t="n"/>
    </row>
    <row r="170">
      <c r="C170" s="310" t="n"/>
      <c r="D170" s="310" t="n"/>
      <c r="E170" s="255" t="n"/>
      <c r="F170" s="310" t="n"/>
    </row>
    <row r="171">
      <c r="C171" s="310" t="n"/>
      <c r="D171" s="310" t="n"/>
      <c r="E171" s="255" t="n"/>
      <c r="F171" s="310" t="n"/>
    </row>
    <row r="172">
      <c r="A172" s="307" t="n"/>
      <c r="B172" s="307" t="n"/>
      <c r="C172" s="308" t="n"/>
      <c r="D172" s="308" t="n"/>
      <c r="E172" s="309" t="n"/>
      <c r="F172" s="308" t="n"/>
    </row>
    <row r="173">
      <c r="A173" s="307" t="n"/>
      <c r="B173" s="307" t="n"/>
      <c r="C173" s="308" t="n"/>
      <c r="D173" s="308" t="n"/>
      <c r="E173" s="309" t="n"/>
      <c r="F173" s="308" t="n"/>
    </row>
    <row r="174">
      <c r="C174" s="310" t="n"/>
      <c r="D174" s="310" t="n"/>
      <c r="E174" s="255" t="n"/>
      <c r="F174" s="310" t="n"/>
    </row>
    <row r="175">
      <c r="C175" s="310" t="n"/>
      <c r="D175" s="310" t="n"/>
      <c r="E175" s="255" t="n"/>
      <c r="F175" s="310" t="n"/>
    </row>
    <row r="176">
      <c r="C176" s="310" t="n"/>
      <c r="D176" s="310" t="n"/>
      <c r="E176" s="255" t="n"/>
      <c r="F176" s="310" t="n"/>
    </row>
    <row r="177">
      <c r="C177" s="310" t="n"/>
      <c r="D177" s="310" t="n"/>
      <c r="E177" s="255" t="n"/>
      <c r="F177" s="310" t="n"/>
    </row>
    <row r="178">
      <c r="A178" s="307" t="n"/>
      <c r="B178" s="307" t="n"/>
      <c r="C178" s="308" t="n"/>
      <c r="D178" s="308" t="n"/>
      <c r="E178" s="309" t="n"/>
      <c r="F178" s="308" t="n"/>
    </row>
    <row r="179">
      <c r="A179" s="307" t="n"/>
      <c r="B179" s="307" t="n"/>
      <c r="C179" s="308" t="n"/>
      <c r="D179" s="308" t="n"/>
      <c r="E179" s="309" t="n"/>
      <c r="F179" s="308" t="n"/>
    </row>
    <row r="180">
      <c r="A180" s="307" t="n"/>
      <c r="B180" s="307" t="n"/>
      <c r="C180" s="308" t="n"/>
      <c r="D180" s="308" t="n"/>
      <c r="E180" s="309" t="n"/>
      <c r="F180" s="308" t="n"/>
    </row>
    <row r="181">
      <c r="A181" s="307" t="n"/>
      <c r="B181" s="307" t="n"/>
      <c r="C181" s="308" t="n"/>
      <c r="D181" s="308" t="n"/>
      <c r="E181" s="309" t="n"/>
      <c r="F181" s="308" t="n"/>
    </row>
    <row r="182">
      <c r="C182" s="310" t="n"/>
      <c r="D182" s="310" t="n"/>
      <c r="E182" s="255" t="n"/>
      <c r="F182" s="310" t="n"/>
    </row>
    <row r="183">
      <c r="C183" s="310" t="n"/>
      <c r="D183" s="310" t="n"/>
      <c r="E183" s="255" t="n"/>
      <c r="F183" s="310" t="n"/>
    </row>
    <row r="184">
      <c r="A184" s="307" t="n"/>
      <c r="B184" s="307" t="n"/>
      <c r="C184" s="308" t="n"/>
      <c r="D184" s="308" t="n"/>
      <c r="E184" s="309" t="n"/>
      <c r="F184" s="308" t="n"/>
    </row>
    <row r="185">
      <c r="A185" s="307" t="n"/>
      <c r="B185" s="307" t="n"/>
      <c r="C185" s="308" t="n"/>
      <c r="D185" s="308" t="n"/>
      <c r="E185" s="309" t="n"/>
      <c r="F185" s="308" t="n"/>
    </row>
    <row r="186">
      <c r="C186" s="310" t="n"/>
      <c r="D186" s="310" t="n"/>
      <c r="E186" s="255" t="n"/>
      <c r="F186" s="310" t="n"/>
    </row>
    <row r="187">
      <c r="C187" s="310" t="n"/>
      <c r="D187" s="310" t="n"/>
      <c r="E187" s="255" t="n"/>
      <c r="F187" s="310" t="n"/>
    </row>
    <row r="188">
      <c r="A188" s="307" t="n"/>
      <c r="B188" s="307" t="n"/>
      <c r="C188" s="308" t="n"/>
      <c r="D188" s="308" t="n"/>
      <c r="E188" s="309" t="n"/>
      <c r="F188" s="308" t="n"/>
    </row>
    <row r="189">
      <c r="A189" s="307" t="n"/>
      <c r="B189" s="307" t="n"/>
      <c r="C189" s="308" t="n"/>
      <c r="D189" s="308" t="n"/>
      <c r="E189" s="309" t="n"/>
      <c r="F189" s="308" t="n"/>
    </row>
    <row r="190">
      <c r="A190" s="307" t="n"/>
      <c r="B190" s="307" t="n"/>
      <c r="C190" s="308" t="n"/>
      <c r="D190" s="308" t="n"/>
      <c r="E190" s="309" t="n"/>
      <c r="F190" s="308" t="n"/>
    </row>
    <row r="191">
      <c r="A191" s="307" t="n"/>
      <c r="B191" s="307" t="n"/>
      <c r="C191" s="308" t="n"/>
      <c r="D191" s="308" t="n"/>
      <c r="E191" s="309" t="n"/>
      <c r="F191" s="308" t="n"/>
    </row>
    <row r="192">
      <c r="C192" s="310" t="n"/>
      <c r="D192" s="310" t="n"/>
      <c r="E192" s="255" t="n"/>
      <c r="F192" s="310" t="n"/>
    </row>
    <row r="193">
      <c r="A193" s="307" t="n"/>
      <c r="B193" s="307" t="n"/>
      <c r="C193" s="308" t="n"/>
      <c r="D193" s="308" t="n"/>
      <c r="E193" s="309" t="n"/>
      <c r="F193" s="308" t="n"/>
    </row>
    <row r="194">
      <c r="A194" s="307" t="n"/>
      <c r="B194" s="307" t="n"/>
      <c r="C194" s="308" t="n"/>
      <c r="D194" s="308" t="n"/>
      <c r="E194" s="309" t="n"/>
      <c r="F194" s="308" t="n"/>
    </row>
    <row r="195">
      <c r="A195" s="307" t="n"/>
      <c r="B195" s="307" t="n"/>
      <c r="C195" s="308" t="n"/>
      <c r="D195" s="308" t="n"/>
      <c r="E195" s="309" t="n"/>
      <c r="F195" s="308" t="n"/>
    </row>
    <row r="196">
      <c r="A196" s="307" t="n"/>
      <c r="B196" s="307" t="n"/>
      <c r="C196" s="308" t="n"/>
      <c r="D196" s="308" t="n"/>
      <c r="E196" s="309" t="n"/>
      <c r="F196" s="308" t="n"/>
    </row>
    <row r="197">
      <c r="C197" s="310" t="n"/>
      <c r="D197" s="310" t="n"/>
      <c r="E197" s="255" t="n"/>
      <c r="F197" s="310" t="n"/>
    </row>
    <row r="198">
      <c r="C198" s="310" t="n"/>
      <c r="D198" s="310" t="n"/>
      <c r="E198" s="255" t="n"/>
      <c r="F198" s="310" t="n"/>
    </row>
    <row r="199">
      <c r="C199" s="310" t="n"/>
      <c r="D199" s="310" t="n"/>
      <c r="E199" s="255" t="n"/>
      <c r="F199" s="310" t="n"/>
    </row>
    <row r="200">
      <c r="A200" s="307" t="n"/>
      <c r="B200" s="307" t="n"/>
      <c r="C200" s="308" t="n"/>
      <c r="D200" s="308" t="n"/>
      <c r="E200" s="309" t="n"/>
      <c r="F200" s="308" t="n"/>
    </row>
    <row r="201">
      <c r="C201" s="310" t="n"/>
      <c r="D201" s="310" t="n"/>
      <c r="E201" s="255" t="n"/>
      <c r="F201" s="310" t="n"/>
    </row>
    <row r="202">
      <c r="C202" s="310" t="n"/>
      <c r="D202" s="310" t="n"/>
      <c r="E202" s="255" t="n"/>
      <c r="F202" s="310" t="n"/>
    </row>
    <row r="203">
      <c r="C203" s="310" t="n"/>
      <c r="D203" s="310" t="n"/>
      <c r="E203" s="255" t="n"/>
      <c r="F203" s="310" t="n"/>
    </row>
    <row r="204">
      <c r="A204" s="307" t="n"/>
      <c r="B204" s="307" t="n"/>
      <c r="C204" s="308" t="n"/>
      <c r="D204" s="308" t="n"/>
      <c r="E204" s="309" t="n"/>
      <c r="F204" s="308" t="n"/>
    </row>
    <row r="205">
      <c r="A205" s="307" t="n"/>
      <c r="B205" s="307" t="n"/>
      <c r="C205" s="308" t="n"/>
      <c r="D205" s="308" t="n"/>
      <c r="E205" s="309" t="n"/>
      <c r="F205" s="308" t="n"/>
    </row>
    <row r="206">
      <c r="A206" s="307" t="n"/>
      <c r="B206" s="307" t="n"/>
      <c r="C206" s="308" t="n"/>
      <c r="D206" s="308" t="n"/>
      <c r="E206" s="309" t="n"/>
      <c r="F206" s="308" t="n"/>
    </row>
    <row r="207">
      <c r="A207" s="307" t="n"/>
      <c r="B207" s="307" t="n"/>
      <c r="C207" s="308" t="n"/>
      <c r="D207" s="308" t="n"/>
      <c r="E207" s="309" t="n"/>
      <c r="F207" s="308" t="n"/>
    </row>
    <row r="208">
      <c r="C208" s="310" t="n"/>
      <c r="D208" s="310" t="n"/>
      <c r="E208" s="255" t="n"/>
      <c r="F208" s="310" t="n"/>
    </row>
    <row r="209">
      <c r="C209" s="310" t="n"/>
      <c r="D209" s="310" t="n"/>
      <c r="E209" s="255" t="n"/>
      <c r="F209" s="310" t="n"/>
    </row>
    <row r="210">
      <c r="C210" s="310" t="n"/>
      <c r="D210" s="310" t="n"/>
      <c r="E210" s="255" t="n"/>
      <c r="F210" s="310" t="n"/>
    </row>
    <row r="211">
      <c r="A211" s="307" t="n"/>
      <c r="B211" s="307" t="n"/>
      <c r="C211" s="308" t="n"/>
      <c r="D211" s="308" t="n"/>
      <c r="E211" s="309" t="n"/>
      <c r="F211" s="308" t="n"/>
    </row>
    <row r="212">
      <c r="C212" s="310" t="n"/>
      <c r="D212" s="310" t="n"/>
      <c r="E212" s="255" t="n"/>
      <c r="F212" s="310" t="n"/>
    </row>
    <row r="213">
      <c r="A213" s="307" t="n"/>
      <c r="B213" s="307" t="n"/>
      <c r="C213" s="308" t="n"/>
      <c r="D213" s="308" t="n"/>
      <c r="E213" s="309" t="n"/>
      <c r="F213" s="308" t="n"/>
    </row>
    <row r="214">
      <c r="A214" s="307" t="n"/>
      <c r="B214" s="307" t="n"/>
      <c r="C214" s="308" t="n"/>
      <c r="D214" s="308" t="n"/>
      <c r="E214" s="309" t="n"/>
      <c r="F214" s="308" t="n"/>
    </row>
    <row r="215">
      <c r="A215" s="307" t="n"/>
      <c r="B215" s="307" t="n"/>
      <c r="C215" s="308" t="n"/>
      <c r="D215" s="308" t="n"/>
      <c r="E215" s="309" t="n"/>
      <c r="F215" s="308" t="n"/>
    </row>
    <row r="216">
      <c r="A216" s="307" t="n"/>
      <c r="B216" s="307" t="n"/>
      <c r="C216" s="308" t="n"/>
      <c r="D216" s="308" t="n"/>
      <c r="E216" s="309" t="n"/>
      <c r="F216" s="308" t="n"/>
    </row>
    <row r="217">
      <c r="C217" s="310" t="n"/>
      <c r="D217" s="310" t="n"/>
      <c r="E217" s="255" t="n"/>
      <c r="F217" s="310" t="n"/>
    </row>
    <row r="218">
      <c r="C218" s="310" t="n"/>
      <c r="D218" s="310" t="n"/>
      <c r="E218" s="255" t="n"/>
      <c r="F218" s="310" t="n"/>
    </row>
    <row r="219">
      <c r="C219" s="310" t="n"/>
      <c r="D219" s="310" t="n"/>
      <c r="E219" s="255" t="n"/>
      <c r="F219" s="310" t="n"/>
    </row>
    <row r="220">
      <c r="C220" s="310" t="n"/>
      <c r="D220" s="310" t="n"/>
      <c r="E220" s="255" t="n"/>
      <c r="F220" s="310" t="n"/>
    </row>
    <row r="221">
      <c r="C221" s="310" t="n"/>
      <c r="D221" s="310" t="n"/>
      <c r="E221" s="255" t="n"/>
      <c r="F221" s="310" t="n"/>
    </row>
    <row r="222">
      <c r="C222" s="310" t="n"/>
      <c r="D222" s="310" t="n"/>
      <c r="E222" s="255" t="n"/>
      <c r="F222" s="310" t="n"/>
    </row>
    <row r="223">
      <c r="A223" s="307" t="n"/>
      <c r="B223" s="307" t="n"/>
      <c r="C223" s="308" t="n"/>
      <c r="D223" s="308" t="n"/>
      <c r="E223" s="309" t="n"/>
      <c r="F223" s="308" t="n"/>
    </row>
    <row r="224">
      <c r="C224" s="310" t="n"/>
      <c r="D224" s="310" t="n"/>
      <c r="E224" s="255" t="n"/>
      <c r="F224" s="310" t="n"/>
    </row>
    <row r="225">
      <c r="A225" s="307" t="n"/>
      <c r="B225" s="307" t="n"/>
      <c r="C225" s="308" t="n"/>
      <c r="D225" s="308" t="n"/>
      <c r="E225" s="309" t="n"/>
      <c r="F225" s="308" t="n"/>
    </row>
    <row r="226">
      <c r="A226" s="307" t="n"/>
      <c r="B226" s="307" t="n"/>
      <c r="C226" s="308" t="n"/>
      <c r="D226" s="308" t="n"/>
      <c r="E226" s="309" t="n"/>
      <c r="F226" s="308" t="n"/>
    </row>
    <row r="227">
      <c r="A227" s="307" t="n"/>
      <c r="B227" s="307" t="n"/>
      <c r="C227" s="308" t="n"/>
      <c r="D227" s="308" t="n"/>
      <c r="E227" s="309" t="n"/>
      <c r="F227" s="308" t="n"/>
    </row>
    <row r="228">
      <c r="A228" s="307" t="n"/>
      <c r="B228" s="307" t="n"/>
      <c r="C228" s="308" t="n"/>
      <c r="D228" s="308" t="n"/>
      <c r="E228" s="309" t="n"/>
      <c r="F228" s="308" t="n"/>
    </row>
    <row r="229">
      <c r="C229" s="310" t="n"/>
      <c r="D229" s="310" t="n"/>
      <c r="E229" s="255" t="n"/>
      <c r="F229" s="310" t="n"/>
    </row>
    <row r="230">
      <c r="C230" s="310" t="n"/>
      <c r="D230" s="310" t="n"/>
      <c r="E230" s="255" t="n"/>
      <c r="F230" s="310" t="n"/>
    </row>
    <row r="231">
      <c r="A231" s="307" t="n"/>
      <c r="B231" s="307" t="n"/>
      <c r="C231" s="308" t="n"/>
      <c r="D231" s="308" t="n"/>
      <c r="E231" s="309" t="n"/>
      <c r="F231" s="308" t="n"/>
    </row>
    <row r="232">
      <c r="C232" s="310" t="n"/>
      <c r="D232" s="310" t="n"/>
      <c r="E232" s="255" t="n"/>
      <c r="F232" s="310" t="n"/>
    </row>
    <row r="233">
      <c r="C233" s="310" t="n"/>
      <c r="D233" s="310" t="n"/>
      <c r="E233" s="255" t="n"/>
      <c r="F233" s="310" t="n"/>
    </row>
    <row r="234">
      <c r="A234" s="307" t="n"/>
      <c r="B234" s="307" t="n"/>
      <c r="C234" s="308" t="n"/>
      <c r="D234" s="308" t="n"/>
      <c r="E234" s="309" t="n"/>
      <c r="F234" s="308" t="n"/>
    </row>
    <row r="235">
      <c r="A235" s="307" t="n"/>
      <c r="B235" s="307" t="n"/>
      <c r="C235" s="308" t="n"/>
      <c r="D235" s="308" t="n"/>
      <c r="E235" s="309" t="n"/>
      <c r="F235" s="308" t="n"/>
    </row>
    <row r="236">
      <c r="A236" s="307" t="n"/>
      <c r="B236" s="307" t="n"/>
      <c r="C236" s="308" t="n"/>
      <c r="D236" s="308" t="n"/>
      <c r="E236" s="309" t="n"/>
      <c r="F236" s="308" t="n"/>
    </row>
    <row r="237">
      <c r="A237" s="307" t="n"/>
      <c r="B237" s="307" t="n"/>
      <c r="C237" s="308" t="n"/>
      <c r="D237" s="308" t="n"/>
      <c r="E237" s="309" t="n"/>
      <c r="F237" s="308" t="n"/>
    </row>
    <row r="238">
      <c r="C238" s="310" t="n"/>
      <c r="D238" s="310" t="n"/>
      <c r="E238" s="255" t="n"/>
      <c r="F238" s="310" t="n"/>
    </row>
    <row r="239">
      <c r="C239" s="310" t="n"/>
      <c r="D239" s="310" t="n"/>
      <c r="E239" s="255" t="n"/>
      <c r="F239" s="310" t="n"/>
    </row>
    <row r="240">
      <c r="A240" s="307" t="n"/>
      <c r="B240" s="307" t="n"/>
      <c r="C240" s="308" t="n"/>
      <c r="D240" s="308" t="n"/>
      <c r="E240" s="309" t="n"/>
      <c r="F240" s="308" t="n"/>
    </row>
    <row r="241">
      <c r="A241" s="307" t="n"/>
      <c r="B241" s="307" t="n"/>
      <c r="C241" s="308" t="n"/>
      <c r="D241" s="308" t="n"/>
      <c r="E241" s="309" t="n"/>
      <c r="F241" s="308" t="n"/>
    </row>
    <row r="242">
      <c r="A242" s="307" t="n"/>
      <c r="B242" s="307" t="n"/>
      <c r="C242" s="308" t="n"/>
      <c r="D242" s="308" t="n"/>
      <c r="E242" s="309" t="n"/>
      <c r="F242" s="308" t="n"/>
    </row>
    <row r="243">
      <c r="A243" s="307" t="n"/>
      <c r="B243" s="307" t="n"/>
      <c r="C243" s="308" t="n"/>
      <c r="D243" s="308" t="n"/>
      <c r="E243" s="309" t="n"/>
      <c r="F243" s="308" t="n"/>
    </row>
    <row r="244">
      <c r="C244" s="310" t="n"/>
      <c r="D244" s="310" t="n"/>
      <c r="E244" s="255" t="n"/>
      <c r="F244" s="310" t="n"/>
    </row>
    <row r="245">
      <c r="A245" s="307" t="n"/>
      <c r="B245" s="307" t="n"/>
      <c r="C245" s="308" t="n"/>
      <c r="D245" s="308" t="n"/>
      <c r="E245" s="309" t="n"/>
      <c r="F245" s="308" t="n"/>
    </row>
    <row r="246">
      <c r="C246" s="310" t="n"/>
      <c r="D246" s="310" t="n"/>
      <c r="E246" s="255" t="n"/>
      <c r="F246" s="310" t="n"/>
    </row>
    <row r="247">
      <c r="A247" s="307" t="n"/>
      <c r="B247" s="307" t="n"/>
      <c r="C247" s="308" t="n"/>
      <c r="D247" s="308" t="n"/>
      <c r="E247" s="309" t="n"/>
      <c r="F247" s="308" t="n"/>
    </row>
    <row r="248">
      <c r="C248" s="310" t="n"/>
      <c r="D248" s="310" t="n"/>
      <c r="E248" s="255" t="n"/>
      <c r="F248" s="310" t="n"/>
    </row>
    <row r="249">
      <c r="A249" s="307" t="n"/>
      <c r="B249" s="307" t="n"/>
      <c r="C249" s="308" t="n"/>
      <c r="D249" s="308" t="n"/>
      <c r="E249" s="309" t="n"/>
      <c r="F249" s="308" t="n"/>
    </row>
    <row r="250">
      <c r="A250" s="307" t="n"/>
      <c r="B250" s="307" t="n"/>
      <c r="C250" s="308" t="n"/>
      <c r="D250" s="308" t="n"/>
      <c r="E250" s="309" t="n"/>
      <c r="F250" s="308" t="n"/>
    </row>
    <row r="251">
      <c r="A251" s="307" t="n"/>
      <c r="B251" s="307" t="n"/>
      <c r="C251" s="308" t="n"/>
      <c r="D251" s="308" t="n"/>
      <c r="E251" s="309" t="n"/>
      <c r="F251" s="308" t="n"/>
    </row>
    <row r="252">
      <c r="A252" s="307" t="n"/>
      <c r="B252" s="307" t="n"/>
      <c r="C252" s="308" t="n"/>
      <c r="D252" s="308" t="n"/>
      <c r="E252" s="309" t="n"/>
      <c r="F252" s="308" t="n"/>
    </row>
    <row r="253">
      <c r="C253" s="310" t="n"/>
      <c r="D253" s="310" t="n"/>
      <c r="E253" s="255" t="n"/>
      <c r="F253" s="310" t="n"/>
    </row>
    <row r="254">
      <c r="C254" s="310" t="n"/>
      <c r="D254" s="310" t="n"/>
      <c r="E254" s="255" t="n"/>
      <c r="F254" s="310" t="n"/>
    </row>
    <row r="255">
      <c r="A255" s="307" t="n"/>
      <c r="B255" s="307" t="n"/>
      <c r="C255" s="308" t="n"/>
      <c r="D255" s="308" t="n"/>
      <c r="E255" s="309" t="n"/>
      <c r="F255" s="308" t="n"/>
    </row>
    <row r="256">
      <c r="C256" s="310" t="n"/>
      <c r="D256" s="310" t="n"/>
      <c r="E256" s="255" t="n"/>
      <c r="F256" s="310" t="n"/>
    </row>
    <row r="257">
      <c r="A257" s="307" t="n"/>
      <c r="B257" s="307" t="n"/>
      <c r="C257" s="308" t="n"/>
      <c r="D257" s="308" t="n"/>
      <c r="E257" s="309" t="n"/>
      <c r="F257" s="308" t="n"/>
    </row>
    <row r="258">
      <c r="A258" s="307" t="n"/>
      <c r="B258" s="307" t="n"/>
      <c r="C258" s="308" t="n"/>
      <c r="D258" s="308" t="n"/>
      <c r="E258" s="309" t="n"/>
      <c r="F258" s="308" t="n"/>
    </row>
    <row r="259">
      <c r="A259" s="307" t="n"/>
      <c r="B259" s="307" t="n"/>
      <c r="C259" s="308" t="n"/>
      <c r="D259" s="308" t="n"/>
      <c r="E259" s="309" t="n"/>
      <c r="F259" s="308" t="n"/>
    </row>
    <row r="260">
      <c r="A260" s="307" t="n"/>
      <c r="B260" s="307" t="n"/>
      <c r="C260" s="308" t="n"/>
      <c r="D260" s="308" t="n"/>
      <c r="E260" s="309" t="n"/>
      <c r="F260" s="308" t="n"/>
    </row>
    <row r="261">
      <c r="C261" s="310" t="n"/>
      <c r="D261" s="310" t="n"/>
      <c r="E261" s="255" t="n"/>
      <c r="F261" s="310" t="n"/>
    </row>
    <row r="262">
      <c r="A262" s="307" t="n"/>
      <c r="B262" s="307" t="n"/>
      <c r="C262" s="308" t="n"/>
      <c r="D262" s="308" t="n"/>
      <c r="E262" s="309" t="n"/>
      <c r="F262" s="308" t="n"/>
    </row>
    <row r="263">
      <c r="C263" s="310" t="n"/>
      <c r="D263" s="310" t="n"/>
      <c r="E263" s="255" t="n"/>
      <c r="F263" s="310" t="n"/>
    </row>
    <row r="264">
      <c r="C264" s="310" t="n"/>
      <c r="D264" s="310" t="n"/>
      <c r="E264" s="255" t="n"/>
      <c r="F264" s="310" t="n"/>
    </row>
    <row r="265">
      <c r="A265" s="307" t="n"/>
      <c r="B265" s="307" t="n"/>
      <c r="C265" s="308" t="n"/>
      <c r="D265" s="308" t="n"/>
      <c r="E265" s="309" t="n"/>
      <c r="F265" s="308" t="n"/>
    </row>
    <row r="266">
      <c r="C266" s="310" t="n"/>
      <c r="D266" s="310" t="n"/>
      <c r="E266" s="255" t="n"/>
      <c r="F266" s="310" t="n"/>
    </row>
    <row r="267">
      <c r="A267" s="307" t="n"/>
      <c r="B267" s="307" t="n"/>
      <c r="C267" s="308" t="n"/>
      <c r="D267" s="308" t="n"/>
      <c r="E267" s="309" t="n"/>
      <c r="F267" s="308" t="n"/>
    </row>
    <row r="268">
      <c r="A268" s="307" t="n"/>
      <c r="B268" s="307" t="n"/>
      <c r="C268" s="308" t="n"/>
      <c r="D268" s="308" t="n"/>
      <c r="E268" s="309" t="n"/>
      <c r="F268" s="308" t="n"/>
    </row>
    <row r="269">
      <c r="A269" s="307" t="n"/>
      <c r="B269" s="307" t="n"/>
      <c r="C269" s="308" t="n"/>
      <c r="D269" s="308" t="n"/>
      <c r="E269" s="309" t="n"/>
      <c r="F269" s="308" t="n"/>
    </row>
    <row r="270">
      <c r="A270" s="307" t="n"/>
      <c r="B270" s="307" t="n"/>
      <c r="C270" s="308" t="n"/>
      <c r="D270" s="308" t="n"/>
      <c r="E270" s="309" t="n"/>
      <c r="F270" s="308" t="n"/>
    </row>
    <row r="271">
      <c r="C271" s="310" t="n"/>
      <c r="D271" s="310" t="n"/>
      <c r="E271" s="255" t="n"/>
      <c r="F271" s="310" t="n"/>
    </row>
    <row r="272">
      <c r="C272" s="310" t="n"/>
      <c r="D272" s="310" t="n"/>
      <c r="E272" s="255" t="n"/>
      <c r="F272" s="310" t="n"/>
    </row>
    <row r="273">
      <c r="A273" s="307" t="n"/>
      <c r="B273" s="307" t="n"/>
      <c r="C273" s="308" t="n"/>
      <c r="D273" s="308" t="n"/>
      <c r="E273" s="309" t="n"/>
      <c r="F273" s="308" t="n"/>
    </row>
    <row r="274">
      <c r="A274" s="307" t="n"/>
      <c r="B274" s="307" t="n"/>
      <c r="C274" s="308" t="n"/>
      <c r="D274" s="308" t="n"/>
      <c r="E274" s="309" t="n"/>
      <c r="F274" s="308" t="n"/>
    </row>
    <row r="275">
      <c r="A275" s="307" t="n"/>
      <c r="B275" s="307" t="n"/>
      <c r="C275" s="308" t="n"/>
      <c r="D275" s="308" t="n"/>
      <c r="E275" s="309" t="n"/>
      <c r="F275" s="308" t="n"/>
    </row>
    <row r="276">
      <c r="A276" s="307" t="n"/>
      <c r="B276" s="307" t="n"/>
      <c r="C276" s="308" t="n"/>
      <c r="D276" s="308" t="n"/>
      <c r="E276" s="309" t="n"/>
      <c r="F276" s="308" t="n"/>
    </row>
    <row r="277">
      <c r="C277" s="310" t="n"/>
      <c r="D277" s="310" t="n"/>
      <c r="E277" s="255" t="n"/>
      <c r="F277" s="310" t="n"/>
    </row>
    <row r="278">
      <c r="C278" s="310" t="n"/>
      <c r="D278" s="310" t="n"/>
      <c r="E278" s="255" t="n"/>
      <c r="F278" s="310" t="n"/>
    </row>
    <row r="279">
      <c r="C279" s="310" t="n"/>
      <c r="D279" s="310" t="n"/>
      <c r="E279" s="255" t="n"/>
      <c r="F279" s="310" t="n"/>
    </row>
    <row r="280">
      <c r="C280" s="310" t="n"/>
      <c r="D280" s="310" t="n"/>
      <c r="E280" s="255" t="n"/>
      <c r="F280" s="310" t="n"/>
    </row>
    <row r="281">
      <c r="C281" s="310" t="n"/>
      <c r="D281" s="310" t="n"/>
      <c r="E281" s="255" t="n"/>
      <c r="F281" s="310" t="n"/>
    </row>
    <row r="282">
      <c r="C282" s="310" t="n"/>
      <c r="D282" s="310" t="n"/>
      <c r="E282" s="255" t="n"/>
      <c r="F282" s="310" t="n"/>
    </row>
    <row r="283">
      <c r="C283" s="310" t="n"/>
      <c r="D283" s="310" t="n"/>
      <c r="E283" s="255" t="n"/>
      <c r="F283" s="310" t="n"/>
    </row>
    <row r="284">
      <c r="C284" s="310" t="n"/>
      <c r="D284" s="310" t="n"/>
      <c r="E284" s="255" t="n"/>
      <c r="F284" s="310" t="n"/>
    </row>
    <row r="285">
      <c r="C285" s="310" t="n"/>
      <c r="D285" s="310" t="n"/>
      <c r="E285" s="255" t="n"/>
      <c r="F285" s="310" t="n"/>
    </row>
    <row r="286">
      <c r="C286" s="310" t="n"/>
      <c r="D286" s="310" t="n"/>
      <c r="E286" s="255" t="n"/>
      <c r="F286" s="310" t="n"/>
    </row>
    <row r="287">
      <c r="C287" s="310" t="n"/>
      <c r="D287" s="310" t="n"/>
      <c r="E287" s="255" t="n"/>
      <c r="F287" s="310" t="n"/>
    </row>
    <row r="288">
      <c r="C288" s="310" t="n"/>
      <c r="D288" s="310" t="n"/>
      <c r="E288" s="255" t="n"/>
      <c r="F288" s="310" t="n"/>
    </row>
    <row r="289">
      <c r="C289" s="310" t="n"/>
      <c r="D289" s="310" t="n"/>
      <c r="E289" s="255" t="n"/>
      <c r="F289" s="310" t="n"/>
    </row>
    <row r="290">
      <c r="C290" s="310" t="n"/>
      <c r="D290" s="310" t="n"/>
      <c r="E290" s="255" t="n"/>
      <c r="F290" s="310" t="n"/>
    </row>
    <row r="291">
      <c r="C291" s="310" t="n"/>
      <c r="D291" s="310" t="n"/>
      <c r="E291" s="255" t="n"/>
      <c r="F291" s="310" t="n"/>
    </row>
    <row r="292">
      <c r="C292" s="310" t="n"/>
      <c r="D292" s="310" t="n"/>
      <c r="E292" s="255" t="n"/>
      <c r="F292" s="310" t="n"/>
    </row>
    <row r="293">
      <c r="C293" s="310" t="n"/>
      <c r="D293" s="310" t="n"/>
      <c r="E293" s="255" t="n"/>
      <c r="F293" s="310" t="n"/>
    </row>
    <row r="294">
      <c r="C294" s="310" t="n"/>
      <c r="D294" s="310" t="n"/>
      <c r="E294" s="255" t="n"/>
      <c r="F294" s="310" t="n"/>
    </row>
    <row r="295">
      <c r="C295" s="310" t="n"/>
      <c r="D295" s="310" t="n"/>
      <c r="E295" s="255" t="n"/>
      <c r="F295" s="310" t="n"/>
    </row>
    <row r="296">
      <c r="C296" s="310" t="n"/>
      <c r="D296" s="310" t="n"/>
      <c r="E296" s="255" t="n"/>
      <c r="F296" s="310" t="n"/>
    </row>
    <row r="297">
      <c r="C297" s="310" t="n"/>
      <c r="D297" s="310" t="n"/>
      <c r="E297" s="255" t="n"/>
      <c r="F297" s="310" t="n"/>
    </row>
    <row r="298">
      <c r="C298" s="310" t="n"/>
      <c r="D298" s="310" t="n"/>
      <c r="E298" s="255" t="n"/>
      <c r="F298" s="310" t="n"/>
    </row>
    <row r="299">
      <c r="C299" s="310" t="n"/>
      <c r="D299" s="310" t="n"/>
      <c r="E299" s="255" t="n"/>
      <c r="F299" s="310" t="n"/>
    </row>
    <row r="300">
      <c r="C300" s="310" t="n"/>
      <c r="D300" s="310" t="n"/>
      <c r="E300" s="255" t="n"/>
      <c r="F300" s="310" t="n"/>
    </row>
    <row r="301">
      <c r="C301" s="310" t="n"/>
      <c r="D301" s="310" t="n"/>
      <c r="E301" s="255" t="n"/>
      <c r="F301" s="310" t="n"/>
    </row>
    <row r="302">
      <c r="C302" s="310" t="n"/>
      <c r="D302" s="310" t="n"/>
      <c r="E302" s="255" t="n"/>
      <c r="F302" s="310" t="n"/>
    </row>
    <row r="303">
      <c r="C303" s="310" t="n"/>
      <c r="D303" s="310" t="n"/>
      <c r="E303" s="255" t="n"/>
      <c r="F303" s="310" t="n"/>
    </row>
    <row r="304">
      <c r="C304" s="310" t="n"/>
      <c r="D304" s="310" t="n"/>
      <c r="E304" s="255" t="n"/>
      <c r="F304" s="310" t="n"/>
    </row>
    <row r="305">
      <c r="C305" s="310" t="n"/>
      <c r="D305" s="310" t="n"/>
      <c r="E305" s="255" t="n"/>
      <c r="F305" s="310" t="n"/>
    </row>
    <row r="306">
      <c r="C306" s="310" t="n"/>
      <c r="D306" s="310" t="n"/>
      <c r="E306" s="255" t="n"/>
      <c r="F306" s="310" t="n"/>
    </row>
    <row r="307">
      <c r="C307" s="310" t="n"/>
      <c r="D307" s="310" t="n"/>
      <c r="E307" s="255" t="n"/>
      <c r="F307" s="310" t="n"/>
    </row>
    <row r="308">
      <c r="C308" s="310" t="n"/>
      <c r="D308" s="310" t="n"/>
      <c r="E308" s="255" t="n"/>
      <c r="F308" s="310" t="n"/>
    </row>
    <row r="309">
      <c r="C309" s="310" t="n"/>
      <c r="D309" s="310" t="n"/>
      <c r="E309" s="255" t="n"/>
      <c r="F309" s="310" t="n"/>
    </row>
    <row r="310">
      <c r="C310" s="310" t="n"/>
      <c r="D310" s="310" t="n"/>
      <c r="E310" s="255" t="n"/>
      <c r="F310" s="310" t="n"/>
    </row>
    <row r="311">
      <c r="C311" s="310" t="n"/>
      <c r="D311" s="310" t="n"/>
      <c r="E311" s="255" t="n"/>
      <c r="F311" s="310" t="n"/>
    </row>
    <row r="312">
      <c r="C312" s="310" t="n"/>
      <c r="D312" s="310" t="n"/>
      <c r="E312" s="255" t="n"/>
      <c r="F312" s="310" t="n"/>
    </row>
    <row r="313">
      <c r="C313" s="310" t="n"/>
      <c r="D313" s="310" t="n"/>
      <c r="E313" s="255" t="n"/>
      <c r="F313" s="310" t="n"/>
    </row>
    <row r="314">
      <c r="C314" s="310" t="n"/>
      <c r="D314" s="310" t="n"/>
      <c r="E314" s="255" t="n"/>
      <c r="F314" s="310" t="n"/>
    </row>
    <row r="315">
      <c r="C315" s="310" t="n"/>
      <c r="D315" s="310" t="n"/>
      <c r="E315" s="255" t="n"/>
      <c r="F315" s="310" t="n"/>
    </row>
    <row r="316">
      <c r="C316" s="310" t="n"/>
      <c r="D316" s="310" t="n"/>
      <c r="E316" s="255" t="n"/>
      <c r="F316" s="310" t="n"/>
    </row>
    <row r="317">
      <c r="C317" s="310" t="n"/>
      <c r="D317" s="310" t="n"/>
      <c r="E317" s="255" t="n"/>
      <c r="F317" s="310" t="n"/>
    </row>
    <row r="318">
      <c r="C318" s="310" t="n"/>
      <c r="D318" s="310" t="n"/>
      <c r="E318" s="255" t="n"/>
      <c r="F318" s="310" t="n"/>
    </row>
    <row r="319">
      <c r="C319" s="310" t="n"/>
      <c r="D319" s="310" t="n"/>
      <c r="E319" s="255" t="n"/>
      <c r="F319" s="310" t="n"/>
    </row>
    <row r="320">
      <c r="C320" s="310" t="n"/>
      <c r="D320" s="310" t="n"/>
      <c r="E320" s="255" t="n"/>
      <c r="F320" s="310" t="n"/>
    </row>
    <row r="321">
      <c r="C321" s="310" t="n"/>
      <c r="D321" s="310" t="n"/>
      <c r="E321" s="255" t="n"/>
      <c r="F321" s="310" t="n"/>
    </row>
    <row r="322">
      <c r="C322" s="310" t="n"/>
      <c r="D322" s="310" t="n"/>
      <c r="E322" s="255" t="n"/>
      <c r="F322" s="310" t="n"/>
    </row>
    <row r="323">
      <c r="C323" s="310" t="n"/>
      <c r="D323" s="310" t="n"/>
      <c r="E323" s="255" t="n"/>
      <c r="F323" s="310" t="n"/>
    </row>
    <row r="324">
      <c r="C324" s="310" t="n"/>
      <c r="D324" s="310" t="n"/>
      <c r="E324" s="255" t="n"/>
      <c r="F324" s="310" t="n"/>
    </row>
    <row r="325">
      <c r="C325" s="310" t="n"/>
      <c r="D325" s="310" t="n"/>
      <c r="E325" s="255" t="n"/>
      <c r="F325" s="310" t="n"/>
    </row>
    <row r="326">
      <c r="C326" s="310" t="n"/>
      <c r="D326" s="310" t="n"/>
      <c r="E326" s="255" t="n"/>
      <c r="F326" s="310" t="n"/>
    </row>
    <row r="327">
      <c r="C327" s="310" t="n"/>
      <c r="D327" s="310" t="n"/>
      <c r="E327" s="255" t="n"/>
      <c r="F327" s="310" t="n"/>
    </row>
    <row r="328">
      <c r="C328" s="310" t="n"/>
      <c r="D328" s="310" t="n"/>
      <c r="E328" s="255" t="n"/>
      <c r="F328" s="310" t="n"/>
    </row>
    <row r="329">
      <c r="C329" s="310" t="n"/>
      <c r="D329" s="310" t="n"/>
      <c r="E329" s="255" t="n"/>
      <c r="F329" s="310" t="n"/>
    </row>
    <row r="330">
      <c r="C330" s="310" t="n"/>
      <c r="D330" s="310" t="n"/>
      <c r="E330" s="255" t="n"/>
      <c r="F330" s="310" t="n"/>
    </row>
    <row r="331">
      <c r="C331" s="310" t="n"/>
      <c r="D331" s="310" t="n"/>
      <c r="E331" s="255" t="n"/>
      <c r="F331" s="310" t="n"/>
    </row>
    <row r="332">
      <c r="C332" s="310" t="n"/>
      <c r="D332" s="310" t="n"/>
      <c r="E332" s="255" t="n"/>
      <c r="F332" s="310" t="n"/>
    </row>
    <row r="333">
      <c r="C333" s="310" t="n"/>
      <c r="D333" s="310" t="n"/>
      <c r="E333" s="255" t="n"/>
      <c r="F333" s="310" t="n"/>
    </row>
    <row r="334">
      <c r="C334" s="310" t="n"/>
      <c r="D334" s="310" t="n"/>
      <c r="E334" s="255" t="n"/>
      <c r="F334" s="310" t="n"/>
    </row>
    <row r="335">
      <c r="C335" s="310" t="n"/>
      <c r="D335" s="310" t="n"/>
      <c r="E335" s="255" t="n"/>
      <c r="F335" s="310" t="n"/>
    </row>
    <row r="336">
      <c r="C336" s="310" t="n"/>
      <c r="D336" s="310" t="n"/>
      <c r="E336" s="255" t="n"/>
      <c r="F336" s="310" t="n"/>
    </row>
    <row r="337">
      <c r="C337" s="310" t="n"/>
      <c r="D337" s="310" t="n"/>
      <c r="E337" s="255" t="n"/>
      <c r="F337" s="310" t="n"/>
    </row>
    <row r="338">
      <c r="C338" s="310" t="n"/>
      <c r="D338" s="310" t="n"/>
      <c r="E338" s="255" t="n"/>
      <c r="F338" s="310" t="n"/>
    </row>
    <row r="339">
      <c r="C339" s="310" t="n"/>
      <c r="D339" s="310" t="n"/>
      <c r="E339" s="255" t="n"/>
      <c r="F339" s="310" t="n"/>
    </row>
    <row r="340">
      <c r="C340" s="310" t="n"/>
      <c r="D340" s="310" t="n"/>
      <c r="E340" s="255" t="n"/>
      <c r="F340" s="310" t="n"/>
    </row>
    <row r="341">
      <c r="C341" s="310" t="n"/>
      <c r="D341" s="310" t="n"/>
      <c r="E341" s="255" t="n"/>
      <c r="F341" s="310" t="n"/>
    </row>
    <row r="342">
      <c r="C342" s="310" t="n"/>
      <c r="D342" s="310" t="n"/>
      <c r="E342" s="255" t="n"/>
      <c r="F342" s="310" t="n"/>
    </row>
    <row r="343">
      <c r="C343" s="310" t="n"/>
      <c r="D343" s="310" t="n"/>
      <c r="E343" s="255" t="n"/>
      <c r="F343" s="310" t="n"/>
    </row>
    <row r="344">
      <c r="C344" s="310" t="n"/>
      <c r="D344" s="310" t="n"/>
      <c r="E344" s="255" t="n"/>
      <c r="F344" s="310" t="n"/>
    </row>
    <row r="345">
      <c r="C345" s="310" t="n"/>
      <c r="D345" s="310" t="n"/>
      <c r="E345" s="255" t="n"/>
      <c r="F345" s="310" t="n"/>
    </row>
    <row r="346">
      <c r="C346" s="310" t="n"/>
      <c r="D346" s="310" t="n"/>
      <c r="E346" s="255" t="n"/>
      <c r="F346" s="310" t="n"/>
    </row>
    <row r="347">
      <c r="C347" s="310" t="n"/>
      <c r="D347" s="310" t="n"/>
      <c r="E347" s="255" t="n"/>
      <c r="F347" s="310" t="n"/>
    </row>
    <row r="348">
      <c r="C348" s="310" t="n"/>
      <c r="D348" s="310" t="n"/>
      <c r="E348" s="255" t="n"/>
      <c r="F348" s="310" t="n"/>
    </row>
    <row r="349">
      <c r="C349" s="310" t="n"/>
      <c r="D349" s="310" t="n"/>
      <c r="E349" s="255" t="n"/>
      <c r="F349" s="310" t="n"/>
    </row>
    <row r="350">
      <c r="C350" s="310" t="n"/>
      <c r="D350" s="310" t="n"/>
      <c r="E350" s="255" t="n"/>
      <c r="F350" s="310" t="n"/>
    </row>
    <row r="351">
      <c r="C351" s="310" t="n"/>
      <c r="D351" s="310" t="n"/>
      <c r="E351" s="255" t="n"/>
      <c r="F351" s="310" t="n"/>
    </row>
    <row r="352">
      <c r="C352" s="310" t="n"/>
      <c r="D352" s="310" t="n"/>
      <c r="E352" s="255" t="n"/>
      <c r="F352" s="310" t="n"/>
    </row>
    <row r="353">
      <c r="C353" s="310" t="n"/>
      <c r="D353" s="310" t="n"/>
      <c r="E353" s="255" t="n"/>
      <c r="F353" s="310" t="n"/>
    </row>
    <row r="354">
      <c r="C354" s="310" t="n"/>
      <c r="D354" s="310" t="n"/>
      <c r="E354" s="255" t="n"/>
      <c r="F354" s="310" t="n"/>
    </row>
    <row r="355">
      <c r="C355" s="310" t="n"/>
      <c r="D355" s="310" t="n"/>
      <c r="E355" s="255" t="n"/>
      <c r="F355" s="310" t="n"/>
    </row>
    <row r="356">
      <c r="C356" s="310" t="n"/>
      <c r="D356" s="310" t="n"/>
      <c r="E356" s="255" t="n"/>
      <c r="F356" s="310" t="n"/>
    </row>
    <row r="357">
      <c r="C357" s="310" t="n"/>
      <c r="D357" s="310" t="n"/>
      <c r="E357" s="255" t="n"/>
      <c r="F357" s="310" t="n"/>
    </row>
    <row r="358">
      <c r="C358" s="310" t="n"/>
      <c r="D358" s="310" t="n"/>
      <c r="E358" s="255" t="n"/>
      <c r="F358" s="310" t="n"/>
    </row>
    <row r="359">
      <c r="C359" s="310" t="n"/>
      <c r="D359" s="310" t="n"/>
      <c r="E359" s="255" t="n"/>
      <c r="F359" s="310" t="n"/>
    </row>
    <row r="360">
      <c r="C360" s="310" t="n"/>
      <c r="D360" s="310" t="n"/>
      <c r="E360" s="255" t="n"/>
      <c r="F360" s="310" t="n"/>
    </row>
    <row r="361">
      <c r="C361" s="310" t="n"/>
      <c r="D361" s="310" t="n"/>
      <c r="E361" s="255" t="n"/>
      <c r="F361" s="310" t="n"/>
    </row>
    <row r="362">
      <c r="C362" s="310" t="n"/>
      <c r="D362" s="310" t="n"/>
      <c r="E362" s="255" t="n"/>
      <c r="F362" s="310" t="n"/>
    </row>
    <row r="363">
      <c r="C363" s="310" t="n"/>
      <c r="D363" s="310" t="n"/>
      <c r="E363" s="255" t="n"/>
      <c r="F363" s="310" t="n"/>
    </row>
    <row r="364">
      <c r="C364" s="310" t="n"/>
      <c r="D364" s="310" t="n"/>
      <c r="E364" s="255" t="n"/>
      <c r="F364" s="310" t="n"/>
    </row>
    <row r="365">
      <c r="C365" s="310" t="n"/>
      <c r="D365" s="310" t="n"/>
      <c r="E365" s="255" t="n"/>
      <c r="F365" s="310" t="n"/>
    </row>
    <row r="366">
      <c r="C366" s="310" t="n"/>
      <c r="D366" s="310" t="n"/>
      <c r="E366" s="255" t="n"/>
      <c r="F366" s="310" t="n"/>
    </row>
    <row r="367">
      <c r="C367" s="310" t="n"/>
      <c r="D367" s="310" t="n"/>
      <c r="E367" s="255" t="n"/>
      <c r="F367" s="310" t="n"/>
    </row>
    <row r="368">
      <c r="C368" s="310" t="n"/>
      <c r="D368" s="310" t="n"/>
      <c r="E368" s="255" t="n"/>
      <c r="F368" s="310" t="n"/>
    </row>
    <row r="369">
      <c r="C369" s="310" t="n"/>
      <c r="D369" s="310" t="n"/>
      <c r="E369" s="255" t="n"/>
      <c r="F369" s="310" t="n"/>
    </row>
    <row r="370">
      <c r="C370" s="310" t="n"/>
      <c r="D370" s="310" t="n"/>
      <c r="E370" s="255" t="n"/>
      <c r="F370" s="310" t="n"/>
    </row>
    <row r="371">
      <c r="C371" s="310" t="n"/>
      <c r="D371" s="310" t="n"/>
      <c r="E371" s="255" t="n"/>
      <c r="F371" s="310" t="n"/>
    </row>
    <row r="372">
      <c r="C372" s="310" t="n"/>
      <c r="D372" s="310" t="n"/>
      <c r="E372" s="255" t="n"/>
      <c r="F372" s="310" t="n"/>
    </row>
    <row r="373">
      <c r="C373" s="310" t="n"/>
      <c r="D373" s="310" t="n"/>
      <c r="E373" s="255" t="n"/>
      <c r="F373" s="310" t="n"/>
    </row>
    <row r="374">
      <c r="C374" s="310" t="n"/>
      <c r="D374" s="310" t="n"/>
      <c r="E374" s="255" t="n"/>
      <c r="F374" s="310" t="n"/>
    </row>
    <row r="375">
      <c r="C375" s="310" t="n"/>
      <c r="D375" s="310" t="n"/>
      <c r="E375" s="255" t="n"/>
      <c r="F375" s="310" t="n"/>
    </row>
    <row r="376">
      <c r="C376" s="310" t="n"/>
      <c r="D376" s="310" t="n"/>
      <c r="E376" s="255" t="n"/>
      <c r="F376" s="310" t="n"/>
    </row>
    <row r="377">
      <c r="C377" s="310" t="n"/>
      <c r="D377" s="310" t="n"/>
      <c r="E377" s="255" t="n"/>
      <c r="F377" s="310" t="n"/>
    </row>
    <row r="378">
      <c r="C378" s="310" t="n"/>
      <c r="D378" s="310" t="n"/>
      <c r="E378" s="255" t="n"/>
      <c r="F378" s="310" t="n"/>
    </row>
    <row r="379">
      <c r="C379" s="310" t="n"/>
      <c r="D379" s="310" t="n"/>
      <c r="E379" s="255" t="n"/>
      <c r="F379" s="310" t="n"/>
    </row>
    <row r="380">
      <c r="C380" s="310" t="n"/>
      <c r="D380" s="310" t="n"/>
      <c r="E380" s="255" t="n"/>
      <c r="F380" s="310" t="n"/>
    </row>
    <row r="381">
      <c r="C381" s="310" t="n"/>
      <c r="D381" s="310" t="n"/>
      <c r="E381" s="255" t="n"/>
      <c r="F381" s="310" t="n"/>
    </row>
    <row r="382">
      <c r="C382" s="310" t="n"/>
      <c r="D382" s="310" t="n"/>
      <c r="E382" s="255" t="n"/>
      <c r="F382" s="310" t="n"/>
    </row>
    <row r="383">
      <c r="C383" s="310" t="n"/>
      <c r="D383" s="310" t="n"/>
      <c r="E383" s="255" t="n"/>
      <c r="F383" s="310" t="n"/>
    </row>
    <row r="384">
      <c r="C384" s="310" t="n"/>
      <c r="D384" s="310" t="n"/>
      <c r="E384" s="255" t="n"/>
      <c r="F384" s="310" t="n"/>
    </row>
    <row r="385">
      <c r="C385" s="310" t="n"/>
      <c r="D385" s="310" t="n"/>
      <c r="E385" s="255" t="n"/>
      <c r="F385" s="310" t="n"/>
    </row>
    <row r="386">
      <c r="C386" s="310" t="n"/>
      <c r="D386" s="310" t="n"/>
      <c r="E386" s="255" t="n"/>
      <c r="F386" s="310" t="n"/>
    </row>
    <row r="387">
      <c r="C387" s="310" t="n"/>
      <c r="D387" s="310" t="n"/>
      <c r="E387" s="255" t="n"/>
      <c r="F387" s="310" t="n"/>
    </row>
    <row r="388">
      <c r="C388" s="310" t="n"/>
      <c r="D388" s="310" t="n"/>
      <c r="E388" s="255" t="n"/>
      <c r="F388" s="310" t="n"/>
    </row>
    <row r="389">
      <c r="C389" s="310" t="n"/>
      <c r="D389" s="310" t="n"/>
      <c r="E389" s="255" t="n"/>
      <c r="F389" s="310" t="n"/>
    </row>
    <row r="390">
      <c r="C390" s="310" t="n"/>
      <c r="D390" s="310" t="n"/>
      <c r="E390" s="255" t="n"/>
      <c r="F390" s="310" t="n"/>
    </row>
    <row r="391">
      <c r="C391" s="310" t="n"/>
      <c r="D391" s="310" t="n"/>
      <c r="E391" s="255" t="n"/>
      <c r="F391" s="310" t="n"/>
    </row>
    <row r="392">
      <c r="C392" s="310" t="n"/>
      <c r="D392" s="310" t="n"/>
      <c r="E392" s="255" t="n"/>
      <c r="F392" s="310" t="n"/>
    </row>
    <row r="393">
      <c r="C393" s="310" t="n"/>
      <c r="D393" s="310" t="n"/>
      <c r="E393" s="255" t="n"/>
      <c r="F393" s="310" t="n"/>
    </row>
    <row r="394">
      <c r="C394" s="310" t="n"/>
      <c r="D394" s="310" t="n"/>
      <c r="E394" s="255" t="n"/>
      <c r="F394" s="310" t="n"/>
    </row>
    <row r="395">
      <c r="C395" s="310" t="n"/>
      <c r="D395" s="310" t="n"/>
      <c r="E395" s="255" t="n"/>
      <c r="F395" s="310" t="n"/>
    </row>
    <row r="396">
      <c r="C396" s="310" t="n"/>
      <c r="D396" s="310" t="n"/>
      <c r="E396" s="255" t="n"/>
      <c r="F396" s="310" t="n"/>
    </row>
    <row r="397">
      <c r="C397" s="310" t="n"/>
      <c r="D397" s="310" t="n"/>
      <c r="E397" s="255" t="n"/>
      <c r="F397" s="310" t="n"/>
    </row>
    <row r="398">
      <c r="C398" s="310" t="n"/>
      <c r="D398" s="310" t="n"/>
      <c r="E398" s="255" t="n"/>
      <c r="F398" s="310" t="n"/>
    </row>
    <row r="399">
      <c r="C399" s="310" t="n"/>
      <c r="D399" s="310" t="n"/>
      <c r="E399" s="255" t="n"/>
      <c r="F399" s="310" t="n"/>
    </row>
    <row r="400">
      <c r="C400" s="310" t="n"/>
      <c r="D400" s="310" t="n"/>
      <c r="E400" s="255" t="n"/>
      <c r="F400" s="310" t="n"/>
    </row>
    <row r="401">
      <c r="C401" s="310" t="n"/>
      <c r="D401" s="310" t="n"/>
      <c r="E401" s="255" t="n"/>
      <c r="F401" s="310" t="n"/>
    </row>
    <row r="402">
      <c r="C402" s="310" t="n"/>
      <c r="D402" s="310" t="n"/>
      <c r="E402" s="255" t="n"/>
      <c r="F402" s="310" t="n"/>
    </row>
    <row r="403">
      <c r="C403" s="310" t="n"/>
      <c r="D403" s="310" t="n"/>
      <c r="E403" s="255" t="n"/>
      <c r="F403" s="310" t="n"/>
    </row>
    <row r="404">
      <c r="C404" s="310" t="n"/>
      <c r="D404" s="310" t="n"/>
      <c r="E404" s="255" t="n"/>
      <c r="F404" s="310" t="n"/>
    </row>
    <row r="405">
      <c r="C405" s="310" t="n"/>
      <c r="D405" s="310" t="n"/>
      <c r="E405" s="255" t="n"/>
      <c r="F405" s="310" t="n"/>
    </row>
    <row r="406">
      <c r="C406" s="310" t="n"/>
      <c r="D406" s="310" t="n"/>
      <c r="E406" s="255" t="n"/>
      <c r="F406" s="310" t="n"/>
    </row>
    <row r="407">
      <c r="C407" s="310" t="n"/>
      <c r="D407" s="310" t="n"/>
      <c r="E407" s="255" t="n"/>
      <c r="F407" s="310" t="n"/>
    </row>
    <row r="408">
      <c r="C408" s="310" t="n"/>
      <c r="D408" s="310" t="n"/>
      <c r="E408" s="255" t="n"/>
      <c r="F408" s="310" t="n"/>
    </row>
    <row r="409">
      <c r="C409" s="310" t="n"/>
      <c r="D409" s="310" t="n"/>
      <c r="E409" s="255" t="n"/>
      <c r="F409" s="310" t="n"/>
    </row>
    <row r="410">
      <c r="C410" s="310" t="n"/>
      <c r="D410" s="310" t="n"/>
      <c r="E410" s="255" t="n"/>
      <c r="F410" s="310" t="n"/>
    </row>
    <row r="411">
      <c r="C411" s="310" t="n"/>
      <c r="D411" s="310" t="n"/>
      <c r="E411" s="255" t="n"/>
      <c r="F411" s="310" t="n"/>
    </row>
    <row r="412">
      <c r="C412" s="310" t="n"/>
      <c r="D412" s="310" t="n"/>
      <c r="E412" s="255" t="n"/>
      <c r="F412" s="310" t="n"/>
    </row>
    <row r="413">
      <c r="C413" s="310" t="n"/>
      <c r="D413" s="310" t="n"/>
      <c r="E413" s="255" t="n"/>
      <c r="F413" s="310" t="n"/>
    </row>
    <row r="414">
      <c r="C414" s="310" t="n"/>
      <c r="D414" s="310" t="n"/>
      <c r="E414" s="255" t="n"/>
      <c r="F414" s="310" t="n"/>
    </row>
    <row r="415">
      <c r="C415" s="310" t="n"/>
      <c r="D415" s="310" t="n"/>
      <c r="E415" s="255" t="n"/>
      <c r="F415" s="310" t="n"/>
    </row>
    <row r="416">
      <c r="C416" s="310" t="n"/>
      <c r="D416" s="310" t="n"/>
      <c r="E416" s="255" t="n"/>
      <c r="F416" s="310" t="n"/>
    </row>
    <row r="417">
      <c r="C417" s="310" t="n"/>
      <c r="D417" s="310" t="n"/>
      <c r="E417" s="255" t="n"/>
      <c r="F417" s="310" t="n"/>
    </row>
    <row r="418">
      <c r="C418" s="310" t="n"/>
      <c r="D418" s="310" t="n"/>
      <c r="E418" s="255" t="n"/>
      <c r="F418" s="310" t="n"/>
    </row>
    <row r="419">
      <c r="C419" s="310" t="n"/>
      <c r="D419" s="310" t="n"/>
      <c r="E419" s="255" t="n"/>
      <c r="F419" s="310" t="n"/>
    </row>
    <row r="420">
      <c r="C420" s="310" t="n"/>
      <c r="D420" s="310" t="n"/>
      <c r="E420" s="255" t="n"/>
      <c r="F420" s="310" t="n"/>
    </row>
    <row r="421">
      <c r="C421" s="310" t="n"/>
      <c r="D421" s="310" t="n"/>
      <c r="E421" s="255" t="n"/>
      <c r="F421" s="310" t="n"/>
    </row>
    <row r="422">
      <c r="C422" s="310" t="n"/>
      <c r="D422" s="310" t="n"/>
      <c r="E422" s="255" t="n"/>
      <c r="F422" s="310" t="n"/>
    </row>
    <row r="423">
      <c r="A423" s="307" t="n"/>
      <c r="B423" s="307" t="n"/>
      <c r="C423" s="308" t="n"/>
      <c r="D423" s="308" t="n"/>
      <c r="E423" s="309" t="n"/>
      <c r="F423" s="308" t="n"/>
    </row>
    <row r="424">
      <c r="A424" s="307" t="n"/>
      <c r="B424" s="307" t="n"/>
      <c r="C424" s="308" t="n"/>
      <c r="D424" s="308" t="n"/>
      <c r="E424" s="309" t="n"/>
      <c r="F424" s="308" t="n"/>
    </row>
    <row r="425">
      <c r="C425" s="310" t="n"/>
      <c r="D425" s="310" t="n"/>
      <c r="E425" s="255" t="n"/>
      <c r="F425" s="310" t="n"/>
    </row>
    <row r="426">
      <c r="C426" s="310" t="n"/>
      <c r="D426" s="310" t="n"/>
      <c r="E426" s="255" t="n"/>
      <c r="F426" s="310" t="n"/>
    </row>
    <row r="427">
      <c r="C427" s="310" t="n"/>
      <c r="D427" s="310" t="n"/>
      <c r="E427" s="255" t="n"/>
      <c r="F427" s="310" t="n"/>
    </row>
    <row r="428">
      <c r="C428" s="310" t="n"/>
      <c r="D428" s="310" t="n"/>
      <c r="E428" s="255" t="n"/>
      <c r="F428" s="310" t="n"/>
    </row>
    <row r="429">
      <c r="C429" s="310" t="n"/>
      <c r="D429" s="310" t="n"/>
      <c r="E429" s="255" t="n"/>
      <c r="F429" s="310" t="n"/>
    </row>
    <row r="430">
      <c r="C430" s="310" t="n"/>
      <c r="D430" s="310" t="n"/>
      <c r="E430" s="255" t="n"/>
      <c r="F430" s="310" t="n"/>
    </row>
    <row r="431">
      <c r="C431" s="310" t="n"/>
      <c r="D431" s="310" t="n"/>
      <c r="E431" s="255" t="n"/>
      <c r="F431" s="310" t="n"/>
    </row>
    <row r="432">
      <c r="C432" s="310" t="n"/>
      <c r="D432" s="310" t="n"/>
      <c r="E432" s="255" t="n"/>
      <c r="F432" s="310" t="n"/>
    </row>
    <row r="433">
      <c r="C433" s="310" t="n"/>
      <c r="D433" s="310" t="n"/>
      <c r="E433" s="255" t="n"/>
      <c r="F433" s="310" t="n"/>
    </row>
    <row r="434">
      <c r="C434" s="310" t="n"/>
      <c r="D434" s="310" t="n"/>
      <c r="E434" s="255" t="n"/>
      <c r="F434" s="310" t="n"/>
    </row>
    <row r="435">
      <c r="C435" s="310" t="n"/>
      <c r="D435" s="310" t="n"/>
      <c r="E435" s="255" t="n"/>
      <c r="F435" s="310" t="n"/>
    </row>
    <row r="436">
      <c r="C436" s="310" t="n"/>
      <c r="D436" s="310" t="n"/>
      <c r="E436" s="255" t="n"/>
      <c r="F436" s="310" t="n"/>
    </row>
    <row r="437">
      <c r="C437" s="310" t="n"/>
      <c r="D437" s="310" t="n"/>
      <c r="E437" s="255" t="n"/>
      <c r="F437" s="310" t="n"/>
    </row>
    <row r="438">
      <c r="C438" s="310" t="n"/>
      <c r="D438" s="310" t="n"/>
      <c r="E438" s="255" t="n"/>
      <c r="F438" s="310" t="n"/>
    </row>
    <row r="439">
      <c r="C439" s="310" t="n"/>
      <c r="D439" s="310" t="n"/>
      <c r="E439" s="255" t="n"/>
      <c r="F439" s="310" t="n"/>
    </row>
    <row r="440">
      <c r="C440" s="310" t="n"/>
      <c r="D440" s="310" t="n"/>
      <c r="E440" s="255" t="n"/>
      <c r="F440" s="310" t="n"/>
    </row>
    <row r="441">
      <c r="C441" s="310" t="n"/>
      <c r="D441" s="310" t="n"/>
      <c r="E441" s="255" t="n"/>
      <c r="F441" s="310" t="n"/>
    </row>
    <row r="442">
      <c r="C442" s="310" t="n"/>
      <c r="D442" s="310" t="n"/>
      <c r="E442" s="255" t="n"/>
      <c r="F442" s="310" t="n"/>
    </row>
    <row r="443">
      <c r="A443" s="307" t="n"/>
      <c r="B443" s="307" t="n"/>
      <c r="C443" s="308" t="n"/>
      <c r="D443" s="308" t="n"/>
      <c r="E443" s="309" t="n"/>
      <c r="F443" s="308" t="n"/>
    </row>
    <row r="444">
      <c r="A444" s="307" t="n"/>
      <c r="B444" s="307" t="n"/>
      <c r="C444" s="308" t="n"/>
      <c r="D444" s="308" t="n"/>
      <c r="E444" s="309" t="n"/>
      <c r="F444" s="308" t="n"/>
    </row>
    <row r="445">
      <c r="C445" s="310" t="n"/>
      <c r="D445" s="310" t="n"/>
      <c r="E445" s="255" t="n"/>
      <c r="F445" s="310" t="n"/>
    </row>
    <row r="446">
      <c r="A446" s="307" t="n"/>
      <c r="B446" s="307" t="n"/>
      <c r="C446" s="308" t="n"/>
      <c r="D446" s="308" t="n"/>
      <c r="E446" s="309" t="n"/>
      <c r="F446" s="308" t="n"/>
    </row>
    <row r="447">
      <c r="A447" s="307" t="n"/>
      <c r="B447" s="307" t="n"/>
      <c r="C447" s="308" t="n"/>
      <c r="D447" s="308" t="n"/>
      <c r="E447" s="309" t="n"/>
      <c r="F447" s="308" t="n"/>
    </row>
    <row r="448">
      <c r="A448" s="307" t="n"/>
      <c r="B448" s="307" t="n"/>
      <c r="C448" s="308" t="n"/>
      <c r="D448" s="308" t="n"/>
      <c r="E448" s="309" t="n"/>
      <c r="F448" s="308" t="n"/>
    </row>
    <row r="449">
      <c r="A449" s="307" t="n"/>
      <c r="B449" s="307" t="n"/>
      <c r="C449" s="308" t="n"/>
      <c r="D449" s="308" t="n"/>
      <c r="E449" s="309" t="n"/>
      <c r="F449" s="308" t="n"/>
    </row>
    <row r="450">
      <c r="C450" s="310" t="n"/>
      <c r="D450" s="310" t="n"/>
      <c r="E450" s="255" t="n"/>
      <c r="F450" s="310" t="n"/>
    </row>
    <row r="451">
      <c r="C451" s="310" t="n"/>
      <c r="D451" s="310" t="n"/>
      <c r="E451" s="255" t="n"/>
      <c r="F451" s="310" t="n"/>
    </row>
    <row r="452">
      <c r="C452" s="310" t="n"/>
      <c r="D452" s="310" t="n"/>
      <c r="E452" s="255" t="n"/>
      <c r="F452" s="310" t="n"/>
    </row>
    <row r="453">
      <c r="C453" s="310" t="n"/>
      <c r="D453" s="310" t="n"/>
      <c r="E453" s="255" t="n"/>
      <c r="F453" s="310" t="n"/>
    </row>
    <row r="454">
      <c r="C454" s="310" t="n"/>
      <c r="D454" s="310" t="n"/>
      <c r="E454" s="255" t="n"/>
      <c r="F454" s="310" t="n"/>
    </row>
    <row r="455">
      <c r="C455" s="310" t="n"/>
      <c r="D455" s="310" t="n"/>
      <c r="E455" s="255" t="n"/>
      <c r="F455" s="310" t="n"/>
    </row>
    <row r="456">
      <c r="C456" s="310" t="n"/>
      <c r="D456" s="310" t="n"/>
      <c r="E456" s="255" t="n"/>
      <c r="F456" s="310" t="n"/>
    </row>
    <row r="457">
      <c r="C457" s="310" t="n"/>
      <c r="D457" s="310" t="n"/>
      <c r="E457" s="255" t="n"/>
      <c r="F457" s="310" t="n"/>
    </row>
    <row r="458">
      <c r="C458" s="310" t="n"/>
      <c r="D458" s="310" t="n"/>
      <c r="E458" s="255" t="n"/>
      <c r="F458" s="310" t="n"/>
    </row>
    <row r="459">
      <c r="C459" s="310" t="n"/>
      <c r="D459" s="310" t="n"/>
      <c r="E459" s="255" t="n"/>
      <c r="F459" s="310" t="n"/>
    </row>
    <row r="460">
      <c r="C460" s="310" t="n"/>
      <c r="D460" s="310" t="n"/>
      <c r="E460" s="255" t="n"/>
      <c r="F460" s="310" t="n"/>
    </row>
    <row r="461">
      <c r="C461" s="310" t="n"/>
      <c r="D461" s="310" t="n"/>
      <c r="E461" s="255" t="n"/>
      <c r="F461" s="310" t="n"/>
    </row>
    <row r="462">
      <c r="C462" s="310" t="n"/>
      <c r="D462" s="310" t="n"/>
      <c r="E462" s="255" t="n"/>
      <c r="F462" s="310" t="n"/>
    </row>
    <row r="463">
      <c r="C463" s="310" t="n"/>
      <c r="D463" s="310" t="n"/>
      <c r="E463" s="255" t="n"/>
      <c r="F463" s="310" t="n"/>
    </row>
    <row r="464">
      <c r="C464" s="310" t="n"/>
      <c r="D464" s="310" t="n"/>
      <c r="E464" s="255" t="n"/>
      <c r="F464" s="310" t="n"/>
    </row>
    <row r="465">
      <c r="C465" s="310" t="n"/>
      <c r="D465" s="310" t="n"/>
      <c r="E465" s="255" t="n"/>
      <c r="F465" s="310" t="n"/>
    </row>
    <row r="466">
      <c r="C466" s="310" t="n"/>
      <c r="D466" s="310" t="n"/>
      <c r="E466" s="255" t="n"/>
      <c r="F466" s="310" t="n"/>
    </row>
    <row r="467">
      <c r="C467" s="310" t="n"/>
      <c r="D467" s="310" t="n"/>
      <c r="E467" s="255" t="n"/>
      <c r="F467" s="310" t="n"/>
    </row>
    <row r="468">
      <c r="C468" s="310" t="n"/>
      <c r="D468" s="310" t="n"/>
      <c r="E468" s="255" t="n"/>
      <c r="F468" s="310" t="n"/>
    </row>
    <row r="469">
      <c r="C469" s="310" t="n"/>
      <c r="D469" s="310" t="n"/>
      <c r="E469" s="255" t="n"/>
      <c r="F469" s="310" t="n"/>
    </row>
    <row r="470">
      <c r="C470" s="310" t="n"/>
      <c r="D470" s="310" t="n"/>
      <c r="E470" s="255" t="n"/>
      <c r="F470" s="310" t="n"/>
    </row>
    <row r="471">
      <c r="C471" s="310" t="n"/>
      <c r="D471" s="310" t="n"/>
      <c r="E471" s="255" t="n"/>
      <c r="F471" s="310" t="n"/>
    </row>
    <row r="472">
      <c r="C472" s="310" t="n"/>
      <c r="D472" s="310" t="n"/>
      <c r="E472" s="255" t="n"/>
      <c r="F472" s="310" t="n"/>
    </row>
    <row r="473">
      <c r="C473" s="310" t="n"/>
      <c r="D473" s="310" t="n"/>
      <c r="E473" s="255" t="n"/>
      <c r="F473" s="310" t="n"/>
    </row>
    <row r="474">
      <c r="C474" s="310" t="n"/>
      <c r="D474" s="310" t="n"/>
      <c r="E474" s="255" t="n"/>
      <c r="F474" s="310" t="n"/>
    </row>
    <row r="475">
      <c r="C475" s="310" t="n"/>
      <c r="D475" s="310" t="n"/>
      <c r="E475" s="255" t="n"/>
      <c r="F475" s="310" t="n"/>
    </row>
    <row r="476">
      <c r="C476" s="310" t="n"/>
      <c r="D476" s="310" t="n"/>
      <c r="E476" s="255" t="n"/>
      <c r="F476" s="310" t="n"/>
    </row>
    <row r="477">
      <c r="C477" s="310" t="n"/>
      <c r="D477" s="310" t="n"/>
      <c r="E477" s="255" t="n"/>
      <c r="F477" s="310" t="n"/>
    </row>
    <row r="478">
      <c r="C478" s="310" t="n"/>
      <c r="D478" s="310" t="n"/>
      <c r="E478" s="255" t="n"/>
      <c r="F478" s="310" t="n"/>
    </row>
    <row r="479">
      <c r="C479" s="310" t="n"/>
      <c r="D479" s="310" t="n"/>
      <c r="E479" s="255" t="n"/>
      <c r="F479" s="310" t="n"/>
    </row>
    <row r="480">
      <c r="C480" s="310" t="n"/>
      <c r="D480" s="310" t="n"/>
      <c r="E480" s="255" t="n"/>
      <c r="F480" s="310" t="n"/>
    </row>
    <row r="481">
      <c r="C481" s="310" t="n"/>
      <c r="D481" s="310" t="n"/>
      <c r="E481" s="255" t="n"/>
      <c r="F481" s="310" t="n"/>
    </row>
    <row r="482">
      <c r="C482" s="310" t="n"/>
      <c r="D482" s="310" t="n"/>
      <c r="E482" s="255" t="n"/>
      <c r="F482" s="310" t="n"/>
    </row>
    <row r="483">
      <c r="C483" s="310" t="n"/>
      <c r="D483" s="310" t="n"/>
      <c r="E483" s="255" t="n"/>
      <c r="F483" s="310" t="n"/>
    </row>
    <row r="484">
      <c r="C484" s="310" t="n"/>
      <c r="D484" s="310" t="n"/>
      <c r="E484" s="255" t="n"/>
      <c r="F484" s="310" t="n"/>
    </row>
    <row r="485">
      <c r="C485" s="310" t="n"/>
      <c r="D485" s="310" t="n"/>
      <c r="E485" s="255" t="n"/>
      <c r="F485" s="310" t="n"/>
    </row>
    <row r="486">
      <c r="C486" s="310" t="n"/>
      <c r="D486" s="310" t="n"/>
      <c r="E486" s="255" t="n"/>
      <c r="F486" s="310" t="n"/>
    </row>
    <row r="487">
      <c r="C487" s="310" t="n"/>
      <c r="D487" s="310" t="n"/>
      <c r="E487" s="255" t="n"/>
      <c r="F487" s="310" t="n"/>
    </row>
    <row r="488">
      <c r="C488" s="310" t="n"/>
      <c r="D488" s="310" t="n"/>
      <c r="E488" s="255" t="n"/>
      <c r="F488" s="310" t="n"/>
    </row>
    <row r="489">
      <c r="C489" s="310" t="n"/>
      <c r="D489" s="310" t="n"/>
      <c r="E489" s="255" t="n"/>
      <c r="F489" s="310" t="n"/>
    </row>
    <row r="490">
      <c r="A490" s="307" t="n"/>
      <c r="B490" s="307" t="n"/>
      <c r="C490" s="308" t="n"/>
      <c r="D490" s="308" t="n"/>
      <c r="E490" s="309" t="n"/>
      <c r="F490" s="308" t="n"/>
    </row>
    <row r="491">
      <c r="A491" s="307" t="n"/>
      <c r="B491" s="307" t="n"/>
      <c r="C491" s="308" t="n"/>
      <c r="D491" s="308" t="n"/>
      <c r="E491" s="309" t="n"/>
      <c r="F491" s="308" t="n"/>
    </row>
    <row r="492">
      <c r="C492" s="310" t="n"/>
      <c r="D492" s="310" t="n"/>
      <c r="E492" s="255" t="n"/>
      <c r="F492" s="310" t="n"/>
    </row>
    <row r="493">
      <c r="A493" s="307" t="n"/>
      <c r="B493" s="307" t="n"/>
      <c r="C493" s="308" t="n"/>
      <c r="D493" s="308" t="n"/>
      <c r="E493" s="309" t="n"/>
      <c r="F493" s="308" t="n"/>
    </row>
    <row r="494">
      <c r="C494" s="310" t="n"/>
      <c r="D494" s="310" t="n"/>
      <c r="E494" s="255" t="n"/>
      <c r="F494" s="310" t="n"/>
    </row>
    <row r="495">
      <c r="A495" s="307" t="n"/>
      <c r="B495" s="307" t="n"/>
      <c r="C495" s="308" t="n"/>
      <c r="D495" s="308" t="n"/>
      <c r="E495" s="309" t="n"/>
      <c r="F495" s="308" t="n"/>
    </row>
    <row r="496">
      <c r="A496" s="307" t="n"/>
      <c r="B496" s="307" t="n"/>
      <c r="C496" s="308" t="n"/>
      <c r="D496" s="308" t="n"/>
      <c r="E496" s="309" t="n"/>
      <c r="F496" s="308" t="n"/>
    </row>
    <row r="497">
      <c r="A497" s="307" t="n"/>
      <c r="B497" s="307" t="n"/>
      <c r="C497" s="308" t="n"/>
      <c r="D497" s="308" t="n"/>
      <c r="E497" s="309" t="n"/>
      <c r="F497" s="308" t="n"/>
    </row>
    <row r="498">
      <c r="A498" s="307" t="n"/>
      <c r="B498" s="307" t="n"/>
      <c r="C498" s="308" t="n"/>
      <c r="D498" s="308" t="n"/>
      <c r="E498" s="309" t="n"/>
      <c r="F498" s="308" t="n"/>
    </row>
    <row r="499">
      <c r="C499" s="310" t="n"/>
      <c r="D499" s="310" t="n"/>
      <c r="E499" s="255" t="n"/>
      <c r="F499" s="310" t="n"/>
    </row>
    <row r="500">
      <c r="A500" s="307" t="n"/>
      <c r="B500" s="307" t="n"/>
      <c r="C500" s="308" t="n"/>
      <c r="D500" s="308" t="n"/>
      <c r="E500" s="309" t="n"/>
      <c r="F500" s="308" t="n"/>
    </row>
    <row r="501">
      <c r="A501" s="307" t="n"/>
      <c r="B501" s="307" t="n"/>
      <c r="C501" s="308" t="n"/>
      <c r="D501" s="308" t="n"/>
      <c r="E501" s="309" t="n"/>
      <c r="F501" s="308" t="n"/>
    </row>
    <row r="502">
      <c r="A502" s="307" t="n"/>
      <c r="B502" s="307" t="n"/>
      <c r="C502" s="308" t="n"/>
      <c r="D502" s="308" t="n"/>
      <c r="E502" s="309" t="n"/>
      <c r="F502" s="308" t="n"/>
    </row>
    <row r="503">
      <c r="A503" s="307" t="n"/>
      <c r="B503" s="307" t="n"/>
      <c r="C503" s="308" t="n"/>
      <c r="D503" s="308" t="n"/>
      <c r="E503" s="309" t="n"/>
      <c r="F503" s="308" t="n"/>
    </row>
    <row r="504">
      <c r="C504" s="310" t="n"/>
      <c r="D504" s="310" t="n"/>
      <c r="E504" s="255" t="n"/>
      <c r="F504" s="310" t="n"/>
    </row>
    <row r="505">
      <c r="C505" s="310" t="n"/>
      <c r="D505" s="310" t="n"/>
      <c r="E505" s="255" t="n"/>
      <c r="F505" s="310" t="n"/>
    </row>
    <row r="506">
      <c r="C506" s="310" t="n"/>
      <c r="D506" s="310" t="n"/>
      <c r="E506" s="255" t="n"/>
      <c r="F506" s="310" t="n"/>
    </row>
    <row r="507">
      <c r="C507" s="310" t="n"/>
      <c r="D507" s="310" t="n"/>
      <c r="E507" s="255" t="n"/>
      <c r="F507" s="310" t="n"/>
    </row>
    <row r="508">
      <c r="A508" s="307" t="n"/>
      <c r="B508" s="307" t="n"/>
      <c r="C508" s="308" t="n"/>
      <c r="D508" s="308" t="n"/>
      <c r="E508" s="309" t="n"/>
      <c r="F508" s="308" t="n"/>
    </row>
    <row r="509">
      <c r="A509" s="307" t="n"/>
      <c r="B509" s="307" t="n"/>
      <c r="C509" s="308" t="n"/>
      <c r="D509" s="308" t="n"/>
      <c r="E509" s="309" t="n"/>
      <c r="F509" s="308" t="n"/>
    </row>
    <row r="510">
      <c r="C510" s="310" t="n"/>
      <c r="D510" s="310" t="n"/>
      <c r="E510" s="255" t="n"/>
      <c r="F510" s="310" t="n"/>
    </row>
    <row r="511">
      <c r="C511" s="310" t="n"/>
      <c r="D511" s="310" t="n"/>
      <c r="E511" s="255" t="n"/>
      <c r="F511" s="310" t="n"/>
    </row>
    <row r="512">
      <c r="C512" s="310" t="n"/>
      <c r="D512" s="310" t="n"/>
      <c r="E512" s="255" t="n"/>
      <c r="F512" s="310" t="n"/>
    </row>
    <row r="513">
      <c r="C513" s="310" t="n"/>
      <c r="D513" s="310" t="n"/>
      <c r="E513" s="255" t="n"/>
      <c r="F513" s="310" t="n"/>
    </row>
    <row r="514">
      <c r="A514" s="307" t="n"/>
      <c r="B514" s="307" t="n"/>
      <c r="C514" s="308" t="n"/>
      <c r="D514" s="308" t="n"/>
      <c r="E514" s="309" t="n"/>
      <c r="F514" s="308" t="n"/>
    </row>
    <row r="515">
      <c r="A515" s="307" t="n"/>
      <c r="B515" s="307" t="n"/>
      <c r="C515" s="308" t="n"/>
      <c r="D515" s="308" t="n"/>
      <c r="E515" s="309" t="n"/>
      <c r="F515" s="308" t="n"/>
    </row>
    <row r="516">
      <c r="A516" s="307" t="n"/>
      <c r="B516" s="307" t="n"/>
      <c r="C516" s="308" t="n"/>
      <c r="D516" s="308" t="n"/>
      <c r="E516" s="309" t="n"/>
      <c r="F516" s="308" t="n"/>
    </row>
    <row r="517">
      <c r="A517" s="307" t="n"/>
      <c r="B517" s="307" t="n"/>
      <c r="C517" s="308" t="n"/>
      <c r="D517" s="308" t="n"/>
      <c r="E517" s="309" t="n"/>
      <c r="F517" s="308" t="n"/>
    </row>
    <row r="518">
      <c r="C518" s="310" t="n"/>
      <c r="D518" s="310" t="n"/>
      <c r="E518" s="255" t="n"/>
      <c r="F518" s="310" t="n"/>
    </row>
    <row r="519">
      <c r="A519" s="307" t="n"/>
      <c r="B519" s="307" t="n"/>
      <c r="C519" s="308" t="n"/>
      <c r="D519" s="308" t="n"/>
      <c r="E519" s="309" t="n"/>
      <c r="F519" s="308" t="n"/>
    </row>
    <row r="520">
      <c r="A520" s="307" t="n"/>
      <c r="B520" s="307" t="n"/>
      <c r="C520" s="308" t="n"/>
      <c r="D520" s="308" t="n"/>
      <c r="E520" s="309" t="n"/>
      <c r="F520" s="308" t="n"/>
    </row>
    <row r="521">
      <c r="A521" s="307" t="n"/>
      <c r="B521" s="307" t="n"/>
      <c r="C521" s="308" t="n"/>
      <c r="D521" s="308" t="n"/>
      <c r="E521" s="309" t="n"/>
      <c r="F521" s="308" t="n"/>
    </row>
    <row r="522">
      <c r="A522" s="307" t="n"/>
      <c r="B522" s="307" t="n"/>
      <c r="C522" s="308" t="n"/>
      <c r="D522" s="308" t="n"/>
      <c r="E522" s="309" t="n"/>
      <c r="F522" s="308" t="n"/>
    </row>
    <row r="523">
      <c r="C523" s="310" t="n"/>
      <c r="D523" s="310" t="n"/>
      <c r="E523" s="255" t="n"/>
      <c r="F523" s="310" t="n"/>
    </row>
    <row r="524">
      <c r="C524" s="310" t="n"/>
      <c r="D524" s="310" t="n"/>
      <c r="E524" s="255" t="n"/>
      <c r="F524" s="310" t="n"/>
    </row>
    <row r="525">
      <c r="A525" s="307" t="n"/>
      <c r="B525" s="307" t="n"/>
      <c r="C525" s="308" t="n"/>
      <c r="D525" s="308" t="n"/>
      <c r="E525" s="309" t="n"/>
      <c r="F525" s="308" t="n"/>
    </row>
    <row r="526">
      <c r="A526" s="307" t="n"/>
      <c r="B526" s="307" t="n"/>
      <c r="C526" s="308" t="n"/>
      <c r="D526" s="308" t="n"/>
      <c r="E526" s="309" t="n"/>
      <c r="F526" s="308" t="n"/>
    </row>
    <row r="527">
      <c r="C527" s="310" t="n"/>
      <c r="D527" s="310" t="n"/>
      <c r="E527" s="255" t="n"/>
      <c r="F527" s="310" t="n"/>
    </row>
    <row r="528">
      <c r="A528" s="307" t="n"/>
      <c r="B528" s="307" t="n"/>
      <c r="C528" s="308" t="n"/>
      <c r="D528" s="308" t="n"/>
      <c r="E528" s="309" t="n"/>
      <c r="F528" s="308" t="n"/>
    </row>
    <row r="529">
      <c r="C529" s="310" t="n"/>
      <c r="D529" s="310" t="n"/>
      <c r="E529" s="255" t="n"/>
      <c r="F529" s="310" t="n"/>
    </row>
    <row r="530">
      <c r="A530" s="307" t="n"/>
      <c r="B530" s="307" t="n"/>
      <c r="C530" s="308" t="n"/>
      <c r="D530" s="308" t="n"/>
      <c r="E530" s="309" t="n"/>
      <c r="F530" s="308" t="n"/>
    </row>
    <row r="531">
      <c r="A531" s="307" t="n"/>
      <c r="B531" s="307" t="n"/>
      <c r="C531" s="308" t="n"/>
      <c r="D531" s="308" t="n"/>
      <c r="E531" s="309" t="n"/>
      <c r="F531" s="308" t="n"/>
    </row>
    <row r="532">
      <c r="C532" s="310" t="n"/>
      <c r="D532" s="310" t="n"/>
      <c r="E532" s="255" t="n"/>
      <c r="F532" s="310" t="n"/>
    </row>
    <row r="533">
      <c r="A533" s="307" t="n"/>
      <c r="B533" s="307" t="n"/>
      <c r="C533" s="308" t="n"/>
      <c r="D533" s="308" t="n"/>
      <c r="E533" s="309" t="n"/>
      <c r="F533" s="308" t="n"/>
    </row>
    <row r="534">
      <c r="A534" s="307" t="n"/>
      <c r="B534" s="307" t="n"/>
      <c r="C534" s="308" t="n"/>
      <c r="D534" s="308" t="n"/>
      <c r="E534" s="309" t="n"/>
      <c r="F534" s="308" t="n"/>
    </row>
    <row r="535">
      <c r="C535" s="310" t="n"/>
      <c r="D535" s="310" t="n"/>
      <c r="E535" s="255" t="n"/>
      <c r="F535" s="310" t="n"/>
    </row>
    <row r="536">
      <c r="C536" s="310" t="n"/>
      <c r="D536" s="310" t="n"/>
      <c r="E536" s="255" t="n"/>
      <c r="F536" s="310" t="n"/>
    </row>
    <row r="537">
      <c r="A537" s="307" t="n"/>
      <c r="B537" s="307" t="n"/>
      <c r="C537" s="308" t="n"/>
      <c r="D537" s="308" t="n"/>
      <c r="E537" s="309" t="n"/>
      <c r="F537" s="308" t="n"/>
    </row>
    <row r="538">
      <c r="A538" s="307" t="n"/>
      <c r="B538" s="307" t="n"/>
      <c r="C538" s="308" t="n"/>
      <c r="D538" s="308" t="n"/>
      <c r="E538" s="309" t="n"/>
      <c r="F538" s="308" t="n"/>
    </row>
    <row r="539">
      <c r="A539" s="307" t="n"/>
      <c r="B539" s="307" t="n"/>
      <c r="C539" s="308" t="n"/>
      <c r="D539" s="308" t="n"/>
      <c r="E539" s="309" t="n"/>
      <c r="F539" s="308" t="n"/>
    </row>
    <row r="540">
      <c r="A540" s="307" t="n"/>
      <c r="B540" s="307" t="n"/>
      <c r="C540" s="308" t="n"/>
      <c r="D540" s="308" t="n"/>
      <c r="E540" s="309" t="n"/>
      <c r="F540" s="308" t="n"/>
    </row>
    <row r="541">
      <c r="C541" s="310" t="n"/>
      <c r="D541" s="310" t="n"/>
      <c r="E541" s="255" t="n"/>
      <c r="F541" s="310" t="n"/>
    </row>
    <row r="542">
      <c r="C542" s="310" t="n"/>
      <c r="D542" s="310" t="n"/>
      <c r="E542" s="255" t="n"/>
      <c r="F542" s="310" t="n"/>
    </row>
    <row r="543">
      <c r="C543" s="310" t="n"/>
      <c r="D543" s="310" t="n"/>
      <c r="E543" s="255" t="n"/>
      <c r="F543" s="310" t="n"/>
    </row>
    <row r="544">
      <c r="A544" s="307" t="n"/>
      <c r="B544" s="307" t="n"/>
      <c r="C544" s="308" t="n"/>
      <c r="D544" s="308" t="n"/>
      <c r="E544" s="309" t="n"/>
      <c r="F544" s="308" t="n"/>
    </row>
    <row r="545">
      <c r="C545" s="310" t="n"/>
      <c r="D545" s="310" t="n"/>
      <c r="E545" s="255" t="n"/>
      <c r="F545" s="310" t="n"/>
    </row>
    <row r="546">
      <c r="A546" s="307" t="n"/>
      <c r="B546" s="307" t="n"/>
      <c r="C546" s="308" t="n"/>
      <c r="D546" s="308" t="n"/>
      <c r="E546" s="309" t="n"/>
      <c r="F546" s="308" t="n"/>
    </row>
    <row r="547">
      <c r="A547" s="307" t="n"/>
      <c r="B547" s="307" t="n"/>
      <c r="C547" s="308" t="n"/>
      <c r="D547" s="308" t="n"/>
      <c r="E547" s="309" t="n"/>
      <c r="F547" s="308" t="n"/>
    </row>
    <row r="548">
      <c r="A548" s="307" t="n"/>
      <c r="B548" s="307" t="n"/>
      <c r="C548" s="308" t="n"/>
      <c r="D548" s="308" t="n"/>
      <c r="E548" s="309" t="n"/>
      <c r="F548" s="308" t="n"/>
    </row>
    <row r="549">
      <c r="A549" s="307" t="n"/>
      <c r="B549" s="307" t="n"/>
      <c r="C549" s="308" t="n"/>
      <c r="D549" s="308" t="n"/>
      <c r="E549" s="309" t="n"/>
      <c r="F549" s="308" t="n"/>
    </row>
    <row r="550">
      <c r="C550" s="310" t="n"/>
      <c r="D550" s="310" t="n"/>
      <c r="E550" s="255" t="n"/>
      <c r="F550" s="310" t="n"/>
    </row>
    <row r="551">
      <c r="A551" s="307" t="n"/>
      <c r="B551" s="307" t="n"/>
      <c r="C551" s="308" t="n"/>
      <c r="D551" s="308" t="n"/>
      <c r="E551" s="309" t="n"/>
      <c r="F551" s="308" t="n"/>
    </row>
    <row r="552">
      <c r="A552" s="307" t="n"/>
      <c r="B552" s="307" t="n"/>
      <c r="C552" s="308" t="n"/>
      <c r="D552" s="308" t="n"/>
      <c r="E552" s="309" t="n"/>
      <c r="F552" s="308" t="n"/>
    </row>
    <row r="553">
      <c r="A553" s="307" t="n"/>
      <c r="B553" s="307" t="n"/>
      <c r="C553" s="308" t="n"/>
      <c r="D553" s="308" t="n"/>
      <c r="E553" s="309" t="n"/>
      <c r="F553" s="308" t="n"/>
    </row>
    <row r="554">
      <c r="A554" s="307" t="n"/>
      <c r="B554" s="307" t="n"/>
      <c r="C554" s="308" t="n"/>
      <c r="D554" s="308" t="n"/>
      <c r="E554" s="309" t="n"/>
      <c r="F554" s="308" t="n"/>
    </row>
    <row r="555">
      <c r="C555" s="310" t="n"/>
      <c r="D555" s="310" t="n"/>
      <c r="E555" s="255" t="n"/>
      <c r="F555" s="310" t="n"/>
    </row>
    <row r="556">
      <c r="A556" s="307" t="n"/>
      <c r="B556" s="307" t="n"/>
      <c r="C556" s="308" t="n"/>
      <c r="D556" s="308" t="n"/>
      <c r="E556" s="309" t="n"/>
      <c r="F556" s="308" t="n"/>
    </row>
    <row r="557">
      <c r="A557" s="307" t="n"/>
      <c r="B557" s="307" t="n"/>
      <c r="C557" s="308" t="n"/>
      <c r="D557" s="308" t="n"/>
      <c r="E557" s="309" t="n"/>
      <c r="F557" s="308" t="n"/>
    </row>
    <row r="558">
      <c r="A558" s="307" t="n"/>
      <c r="B558" s="307" t="n"/>
      <c r="C558" s="308" t="n"/>
      <c r="D558" s="308" t="n"/>
      <c r="E558" s="309" t="n"/>
      <c r="F558" s="308" t="n"/>
    </row>
    <row r="559">
      <c r="A559" s="307" t="n"/>
      <c r="B559" s="307" t="n"/>
      <c r="C559" s="308" t="n"/>
      <c r="D559" s="308" t="n"/>
      <c r="E559" s="309" t="n"/>
      <c r="F559" s="308" t="n"/>
    </row>
    <row r="560">
      <c r="C560" s="310" t="n"/>
      <c r="D560" s="310" t="n"/>
      <c r="E560" s="255" t="n"/>
      <c r="F560" s="310" t="n"/>
    </row>
    <row r="561">
      <c r="A561" s="307" t="n"/>
      <c r="B561" s="307" t="n"/>
      <c r="C561" s="308" t="n"/>
      <c r="D561" s="308" t="n"/>
      <c r="E561" s="309" t="n"/>
      <c r="F561" s="308" t="n"/>
    </row>
    <row r="562">
      <c r="A562" s="307" t="n"/>
      <c r="B562" s="307" t="n"/>
      <c r="C562" s="308" t="n"/>
      <c r="D562" s="308" t="n"/>
      <c r="E562" s="309" t="n"/>
      <c r="F562" s="308" t="n"/>
    </row>
    <row r="563">
      <c r="A563" s="307" t="n"/>
      <c r="B563" s="307" t="n"/>
      <c r="C563" s="308" t="n"/>
      <c r="D563" s="308" t="n"/>
      <c r="E563" s="309" t="n"/>
      <c r="F563" s="308" t="n"/>
    </row>
    <row r="564">
      <c r="A564" s="307" t="n"/>
      <c r="B564" s="307" t="n"/>
      <c r="C564" s="308" t="n"/>
      <c r="D564" s="308" t="n"/>
      <c r="E564" s="309" t="n"/>
      <c r="F564" s="308" t="n"/>
    </row>
    <row r="565">
      <c r="C565" s="310" t="n"/>
      <c r="D565" s="310" t="n"/>
      <c r="E565" s="255" t="n"/>
      <c r="F565" s="310" t="n"/>
    </row>
    <row r="566">
      <c r="A566" s="307" t="n"/>
      <c r="B566" s="307" t="n"/>
      <c r="C566" s="308" t="n"/>
      <c r="D566" s="308" t="n"/>
      <c r="E566" s="309" t="n"/>
      <c r="F566" s="308" t="n"/>
    </row>
    <row r="567">
      <c r="A567" s="307" t="n"/>
      <c r="B567" s="307" t="n"/>
      <c r="C567" s="308" t="n"/>
      <c r="D567" s="308" t="n"/>
      <c r="E567" s="309" t="n"/>
      <c r="F567" s="308" t="n"/>
    </row>
    <row r="568">
      <c r="C568" s="310" t="n"/>
      <c r="D568" s="310" t="n"/>
      <c r="E568" s="255" t="n"/>
      <c r="F568" s="310" t="n"/>
    </row>
    <row r="569">
      <c r="A569" s="307" t="n"/>
      <c r="B569" s="307" t="n"/>
      <c r="C569" s="308" t="n"/>
      <c r="D569" s="308" t="n"/>
      <c r="E569" s="309" t="n"/>
      <c r="F569" s="308" t="n"/>
    </row>
    <row r="570">
      <c r="C570" s="310" t="n"/>
      <c r="D570" s="310" t="n"/>
      <c r="E570" s="255" t="n"/>
      <c r="F570" s="310" t="n"/>
    </row>
    <row r="571">
      <c r="A571" s="307" t="n"/>
      <c r="B571" s="307" t="n"/>
      <c r="C571" s="308" t="n"/>
      <c r="D571" s="308" t="n"/>
      <c r="E571" s="309" t="n"/>
      <c r="F571" s="308" t="n"/>
    </row>
    <row r="572">
      <c r="C572" s="310" t="n"/>
      <c r="D572" s="310" t="n"/>
      <c r="E572" s="255" t="n"/>
      <c r="F572" s="310" t="n"/>
    </row>
    <row r="573">
      <c r="A573" s="307" t="n"/>
      <c r="B573" s="307" t="n"/>
      <c r="C573" s="308" t="n"/>
      <c r="D573" s="308" t="n"/>
      <c r="E573" s="309" t="n"/>
      <c r="F573" s="308" t="n"/>
    </row>
    <row r="574">
      <c r="A574" s="307" t="n"/>
      <c r="B574" s="307" t="n"/>
      <c r="C574" s="308" t="n"/>
      <c r="D574" s="308" t="n"/>
      <c r="E574" s="309" t="n"/>
      <c r="F574" s="308" t="n"/>
    </row>
    <row r="575">
      <c r="A575" s="307" t="n"/>
      <c r="B575" s="307" t="n"/>
      <c r="C575" s="308" t="n"/>
      <c r="D575" s="308" t="n"/>
      <c r="E575" s="309" t="n"/>
      <c r="F575" s="308" t="n"/>
    </row>
    <row r="576">
      <c r="A576" s="307" t="n"/>
      <c r="B576" s="307" t="n"/>
      <c r="C576" s="308" t="n"/>
      <c r="D576" s="308" t="n"/>
      <c r="E576" s="309" t="n"/>
      <c r="F576" s="308" t="n"/>
    </row>
    <row r="577">
      <c r="C577" s="310" t="n"/>
      <c r="D577" s="310" t="n"/>
      <c r="E577" s="255" t="n"/>
      <c r="F577" s="310" t="n"/>
    </row>
    <row r="578">
      <c r="A578" s="307" t="n"/>
      <c r="B578" s="307" t="n"/>
      <c r="C578" s="308" t="n"/>
      <c r="D578" s="308" t="n"/>
      <c r="E578" s="309" t="n"/>
      <c r="F578" s="308" t="n"/>
    </row>
    <row r="579">
      <c r="A579" s="307" t="n"/>
      <c r="B579" s="307" t="n"/>
      <c r="C579" s="308" t="n"/>
      <c r="D579" s="308" t="n"/>
      <c r="E579" s="309" t="n"/>
      <c r="F579" s="308" t="n"/>
    </row>
    <row r="580">
      <c r="C580" s="310" t="n"/>
      <c r="D580" s="310" t="n"/>
      <c r="E580" s="255" t="n"/>
      <c r="F580" s="310" t="n"/>
    </row>
    <row r="581">
      <c r="A581" s="307" t="n"/>
      <c r="B581" s="307" t="n"/>
      <c r="C581" s="308" t="n"/>
      <c r="D581" s="308" t="n"/>
      <c r="E581" s="309" t="n"/>
      <c r="F581" s="308" t="n"/>
    </row>
    <row r="582">
      <c r="A582" s="307" t="n"/>
      <c r="B582" s="307" t="n"/>
      <c r="C582" s="308" t="n"/>
      <c r="D582" s="308" t="n"/>
      <c r="E582" s="309" t="n"/>
      <c r="F582" s="308" t="n"/>
    </row>
    <row r="583">
      <c r="A583" s="307" t="n"/>
      <c r="B583" s="307" t="n"/>
      <c r="C583" s="308" t="n"/>
      <c r="D583" s="308" t="n"/>
      <c r="E583" s="309" t="n"/>
      <c r="F583" s="308" t="n"/>
    </row>
    <row r="584">
      <c r="A584" s="307" t="n"/>
      <c r="B584" s="307" t="n"/>
      <c r="C584" s="308" t="n"/>
      <c r="D584" s="308" t="n"/>
      <c r="E584" s="309" t="n"/>
      <c r="F584" s="308" t="n"/>
    </row>
    <row r="585">
      <c r="C585" s="310" t="n"/>
      <c r="D585" s="310" t="n"/>
      <c r="E585" s="255" t="n"/>
      <c r="F585" s="310" t="n"/>
    </row>
    <row r="586">
      <c r="A586" s="307" t="n"/>
      <c r="B586" s="307" t="n"/>
      <c r="C586" s="308" t="n"/>
      <c r="D586" s="308" t="n"/>
      <c r="E586" s="309" t="n"/>
      <c r="F586" s="308" t="n"/>
    </row>
    <row r="587">
      <c r="A587" s="307" t="n"/>
      <c r="B587" s="307" t="n"/>
      <c r="C587" s="308" t="n"/>
      <c r="D587" s="308" t="n"/>
      <c r="E587" s="309" t="n"/>
      <c r="F587" s="308" t="n"/>
    </row>
    <row r="588">
      <c r="A588" s="307" t="n"/>
      <c r="B588" s="307" t="n"/>
      <c r="C588" s="308" t="n"/>
      <c r="D588" s="308" t="n"/>
      <c r="E588" s="309" t="n"/>
      <c r="F588" s="308" t="n"/>
    </row>
    <row r="589">
      <c r="A589" s="307" t="n"/>
      <c r="B589" s="307" t="n"/>
      <c r="C589" s="308" t="n"/>
      <c r="D589" s="308" t="n"/>
      <c r="E589" s="309" t="n"/>
      <c r="F589" s="308" t="n"/>
    </row>
    <row r="590">
      <c r="C590" s="310" t="n"/>
      <c r="D590" s="310" t="n"/>
      <c r="E590" s="255" t="n"/>
      <c r="F590" s="310" t="n"/>
    </row>
    <row r="591">
      <c r="C591" s="310" t="n"/>
      <c r="D591" s="310" t="n"/>
      <c r="E591" s="255" t="n"/>
      <c r="F591" s="310" t="n"/>
    </row>
    <row r="592">
      <c r="A592" s="307" t="n"/>
      <c r="B592" s="307" t="n"/>
      <c r="C592" s="308" t="n"/>
      <c r="D592" s="308" t="n"/>
      <c r="E592" s="309" t="n"/>
      <c r="F592" s="308" t="n"/>
    </row>
    <row r="593">
      <c r="A593" s="307" t="n"/>
      <c r="B593" s="307" t="n"/>
      <c r="C593" s="308" t="n"/>
      <c r="D593" s="308" t="n"/>
      <c r="E593" s="309" t="n"/>
      <c r="F593" s="308" t="n"/>
    </row>
    <row r="594">
      <c r="A594" s="307" t="n"/>
      <c r="B594" s="307" t="n"/>
      <c r="C594" s="308" t="n"/>
      <c r="D594" s="308" t="n"/>
      <c r="E594" s="309" t="n"/>
      <c r="F594" s="308" t="n"/>
    </row>
    <row r="595">
      <c r="A595" s="307" t="n"/>
      <c r="B595" s="307" t="n"/>
      <c r="C595" s="308" t="n"/>
      <c r="D595" s="308" t="n"/>
      <c r="E595" s="309" t="n"/>
      <c r="F595" s="308" t="n"/>
    </row>
    <row r="596">
      <c r="C596" s="310" t="n"/>
      <c r="D596" s="310" t="n"/>
      <c r="E596" s="255" t="n"/>
      <c r="F596" s="310" t="n"/>
    </row>
    <row r="597">
      <c r="A597" s="307" t="n"/>
      <c r="B597" s="307" t="n"/>
      <c r="C597" s="308" t="n"/>
      <c r="D597" s="308" t="n"/>
      <c r="E597" s="309" t="n"/>
      <c r="F597" s="308" t="n"/>
    </row>
    <row r="598">
      <c r="A598" s="307" t="n"/>
      <c r="B598" s="307" t="n"/>
      <c r="C598" s="308" t="n"/>
      <c r="D598" s="308" t="n"/>
      <c r="E598" s="309" t="n"/>
      <c r="F598" s="308" t="n"/>
    </row>
    <row r="599">
      <c r="A599" s="307" t="n"/>
      <c r="B599" s="307" t="n"/>
      <c r="C599" s="308" t="n"/>
      <c r="D599" s="308" t="n"/>
      <c r="E599" s="309" t="n"/>
      <c r="F599" s="308" t="n"/>
    </row>
    <row r="600">
      <c r="A600" s="307" t="n"/>
      <c r="B600" s="307" t="n"/>
      <c r="C600" s="308" t="n"/>
      <c r="D600" s="308" t="n"/>
      <c r="E600" s="309" t="n"/>
      <c r="F600" s="308" t="n"/>
    </row>
    <row r="601">
      <c r="C601" s="310" t="n"/>
      <c r="D601" s="310" t="n"/>
      <c r="E601" s="255" t="n"/>
      <c r="F601" s="310" t="n"/>
    </row>
    <row r="602">
      <c r="C602" s="310" t="n"/>
      <c r="D602" s="310" t="n"/>
      <c r="E602" s="255" t="n"/>
      <c r="F602" s="310" t="n"/>
    </row>
    <row r="603">
      <c r="C603" s="310" t="n"/>
      <c r="D603" s="310" t="n"/>
      <c r="E603" s="255" t="n"/>
      <c r="F603" s="310" t="n"/>
    </row>
    <row r="604">
      <c r="C604" s="310" t="n"/>
      <c r="D604" s="310" t="n"/>
      <c r="E604" s="255" t="n"/>
      <c r="F604" s="310" t="n"/>
    </row>
    <row r="605">
      <c r="C605" s="310" t="n"/>
      <c r="D605" s="310" t="n"/>
      <c r="E605" s="255" t="n"/>
      <c r="F605" s="310" t="n"/>
    </row>
    <row r="606">
      <c r="C606" s="310" t="n"/>
      <c r="D606" s="310" t="n"/>
      <c r="E606" s="255" t="n"/>
      <c r="F606" s="310" t="n"/>
    </row>
    <row r="607">
      <c r="C607" s="310" t="n"/>
      <c r="D607" s="310" t="n"/>
      <c r="E607" s="255" t="n"/>
      <c r="F607" s="310" t="n"/>
    </row>
    <row r="608">
      <c r="C608" s="310" t="n"/>
      <c r="D608" s="310" t="n"/>
      <c r="E608" s="255" t="n"/>
      <c r="F608" s="310" t="n"/>
    </row>
    <row r="609">
      <c r="C609" s="310" t="n"/>
      <c r="D609" s="310" t="n"/>
      <c r="E609" s="255" t="n"/>
      <c r="F609" s="310" t="n"/>
    </row>
    <row r="610">
      <c r="C610" s="310" t="n"/>
      <c r="D610" s="310" t="n"/>
      <c r="E610" s="255" t="n"/>
      <c r="F610" s="310" t="n"/>
    </row>
    <row r="611">
      <c r="A611" s="307" t="n"/>
      <c r="B611" s="307" t="n"/>
      <c r="C611" s="308" t="n"/>
      <c r="D611" s="308" t="n"/>
      <c r="E611" s="309" t="n"/>
      <c r="F611" s="308" t="n"/>
    </row>
    <row r="612">
      <c r="A612" s="307" t="n"/>
      <c r="B612" s="307" t="n"/>
      <c r="C612" s="308" t="n"/>
      <c r="D612" s="308" t="n"/>
      <c r="E612" s="309" t="n"/>
      <c r="F612" s="308" t="n"/>
    </row>
    <row r="613">
      <c r="C613" s="310" t="n"/>
      <c r="D613" s="310" t="n"/>
      <c r="E613" s="255" t="n"/>
      <c r="F613" s="310" t="n"/>
    </row>
    <row r="614">
      <c r="C614" s="310" t="n"/>
      <c r="D614" s="310" t="n"/>
      <c r="E614" s="255" t="n"/>
      <c r="F614" s="310" t="n"/>
    </row>
    <row r="615">
      <c r="C615" s="310" t="n"/>
      <c r="D615" s="310" t="n"/>
      <c r="E615" s="255" t="n"/>
      <c r="F615" s="310" t="n"/>
    </row>
    <row r="616">
      <c r="A616" s="307" t="n"/>
      <c r="B616" s="307" t="n"/>
      <c r="C616" s="308" t="n"/>
      <c r="D616" s="308" t="n"/>
      <c r="E616" s="309" t="n"/>
      <c r="F616" s="308" t="n"/>
    </row>
    <row r="617">
      <c r="A617" s="307" t="n"/>
      <c r="B617" s="307" t="n"/>
      <c r="C617" s="308" t="n"/>
      <c r="D617" s="308" t="n"/>
      <c r="E617" s="309" t="n"/>
      <c r="F617" s="308" t="n"/>
    </row>
    <row r="618">
      <c r="C618" s="310" t="n"/>
      <c r="D618" s="310" t="n"/>
      <c r="E618" s="255" t="n"/>
      <c r="F618" s="310" t="n"/>
    </row>
    <row r="619">
      <c r="C619" s="310" t="n"/>
      <c r="D619" s="310" t="n"/>
      <c r="E619" s="255" t="n"/>
      <c r="F619" s="310" t="n"/>
    </row>
    <row r="620">
      <c r="A620" s="307" t="n"/>
      <c r="B620" s="307" t="n"/>
      <c r="C620" s="308" t="n"/>
      <c r="D620" s="308" t="n"/>
      <c r="E620" s="309" t="n"/>
      <c r="F620" s="308" t="n"/>
    </row>
    <row r="621">
      <c r="A621" s="307" t="n"/>
      <c r="B621" s="307" t="n"/>
      <c r="C621" s="308" t="n"/>
      <c r="D621" s="308" t="n"/>
      <c r="E621" s="309" t="n"/>
      <c r="F621" s="308" t="n"/>
    </row>
    <row r="622">
      <c r="C622" s="310" t="n"/>
      <c r="D622" s="310" t="n"/>
      <c r="E622" s="255" t="n"/>
      <c r="F622" s="310" t="n"/>
    </row>
    <row r="623">
      <c r="C623" s="310" t="n"/>
      <c r="D623" s="310" t="n"/>
      <c r="E623" s="255" t="n"/>
      <c r="F623" s="310" t="n"/>
    </row>
    <row r="624">
      <c r="A624" s="307" t="n"/>
      <c r="B624" s="307" t="n"/>
      <c r="C624" s="308" t="n"/>
      <c r="D624" s="308" t="n"/>
      <c r="E624" s="309" t="n"/>
      <c r="F624" s="308" t="n"/>
    </row>
    <row r="625">
      <c r="A625" s="307" t="n"/>
      <c r="B625" s="307" t="n"/>
      <c r="C625" s="308" t="n"/>
      <c r="D625" s="308" t="n"/>
      <c r="E625" s="309" t="n"/>
      <c r="F625" s="308" t="n"/>
    </row>
    <row r="626">
      <c r="A626" s="307" t="n"/>
      <c r="B626" s="307" t="n"/>
      <c r="C626" s="308" t="n"/>
      <c r="D626" s="308" t="n"/>
      <c r="E626" s="309" t="n"/>
      <c r="F626" s="308" t="n"/>
    </row>
    <row r="627">
      <c r="A627" s="307" t="n"/>
      <c r="B627" s="307" t="n"/>
      <c r="C627" s="308" t="n"/>
      <c r="D627" s="308" t="n"/>
      <c r="E627" s="309" t="n"/>
      <c r="F627" s="308" t="n"/>
    </row>
    <row r="628">
      <c r="C628" s="310" t="n"/>
      <c r="D628" s="310" t="n"/>
      <c r="E628" s="255" t="n"/>
      <c r="F628" s="310" t="n"/>
    </row>
    <row r="629">
      <c r="A629" s="307" t="n"/>
      <c r="B629" s="307" t="n"/>
      <c r="C629" s="308" t="n"/>
      <c r="D629" s="308" t="n"/>
      <c r="E629" s="309" t="n"/>
      <c r="F629" s="308" t="n"/>
    </row>
    <row r="630">
      <c r="A630" s="307" t="n"/>
      <c r="B630" s="307" t="n"/>
      <c r="C630" s="308" t="n"/>
      <c r="D630" s="308" t="n"/>
      <c r="E630" s="309" t="n"/>
      <c r="F630" s="308" t="n"/>
    </row>
    <row r="631">
      <c r="A631" s="307" t="n"/>
      <c r="B631" s="307" t="n"/>
      <c r="C631" s="308" t="n"/>
      <c r="D631" s="308" t="n"/>
      <c r="E631" s="309" t="n"/>
      <c r="F631" s="308" t="n"/>
    </row>
    <row r="632">
      <c r="A632" s="307" t="n"/>
      <c r="B632" s="307" t="n"/>
      <c r="C632" s="308" t="n"/>
      <c r="D632" s="308" t="n"/>
      <c r="E632" s="309" t="n"/>
      <c r="F632" s="308" t="n"/>
    </row>
    <row r="633">
      <c r="C633" s="310" t="n"/>
      <c r="D633" s="310" t="n"/>
      <c r="E633" s="255" t="n"/>
      <c r="F633" s="310" t="n"/>
    </row>
    <row r="634">
      <c r="A634" s="307" t="n"/>
      <c r="B634" s="307" t="n"/>
      <c r="C634" s="308" t="n"/>
      <c r="D634" s="308" t="n"/>
      <c r="E634" s="309" t="n"/>
      <c r="F634" s="308" t="n"/>
    </row>
    <row r="635">
      <c r="A635" s="307" t="n"/>
      <c r="B635" s="307" t="n"/>
      <c r="C635" s="308" t="n"/>
      <c r="D635" s="308" t="n"/>
      <c r="E635" s="309" t="n"/>
      <c r="F635" s="308" t="n"/>
    </row>
    <row r="636">
      <c r="C636" s="310" t="n"/>
      <c r="D636" s="310" t="n"/>
      <c r="E636" s="255" t="n"/>
      <c r="F636" s="310" t="n"/>
    </row>
    <row r="637">
      <c r="A637" s="307" t="n"/>
      <c r="B637" s="307" t="n"/>
      <c r="C637" s="308" t="n"/>
      <c r="D637" s="308" t="n"/>
      <c r="E637" s="309" t="n"/>
      <c r="F637" s="308" t="n"/>
    </row>
    <row r="638">
      <c r="A638" s="307" t="n"/>
      <c r="B638" s="307" t="n"/>
      <c r="C638" s="308" t="n"/>
      <c r="D638" s="308" t="n"/>
      <c r="E638" s="309" t="n"/>
      <c r="F638" s="308" t="n"/>
    </row>
    <row r="639">
      <c r="A639" s="307" t="n"/>
      <c r="B639" s="307" t="n"/>
      <c r="C639" s="308" t="n"/>
      <c r="D639" s="308" t="n"/>
      <c r="E639" s="309" t="n"/>
      <c r="F639" s="308" t="n"/>
    </row>
    <row r="640">
      <c r="A640" s="307" t="n"/>
      <c r="B640" s="307" t="n"/>
      <c r="C640" s="308" t="n"/>
      <c r="D640" s="308" t="n"/>
      <c r="E640" s="309" t="n"/>
      <c r="F640" s="308" t="n"/>
    </row>
    <row r="641">
      <c r="C641" s="310" t="n"/>
      <c r="D641" s="310" t="n"/>
      <c r="E641" s="255" t="n"/>
      <c r="F641" s="310" t="n"/>
    </row>
    <row r="642">
      <c r="A642" s="307" t="n"/>
      <c r="B642" s="307" t="n"/>
      <c r="C642" s="308" t="n"/>
      <c r="D642" s="308" t="n"/>
      <c r="E642" s="309" t="n"/>
      <c r="F642" s="308" t="n"/>
    </row>
    <row r="643">
      <c r="A643" s="307" t="n"/>
      <c r="B643" s="307" t="n"/>
      <c r="C643" s="308" t="n"/>
      <c r="D643" s="308" t="n"/>
      <c r="E643" s="309" t="n"/>
      <c r="F643" s="308" t="n"/>
    </row>
    <row r="644">
      <c r="A644" s="307" t="n"/>
      <c r="B644" s="307" t="n"/>
      <c r="C644" s="308" t="n"/>
      <c r="D644" s="308" t="n"/>
      <c r="E644" s="309" t="n"/>
      <c r="F644" s="308" t="n"/>
    </row>
    <row r="645">
      <c r="A645" s="307" t="n"/>
      <c r="B645" s="307" t="n"/>
      <c r="C645" s="308" t="n"/>
      <c r="D645" s="308" t="n"/>
      <c r="E645" s="309" t="n"/>
      <c r="F645" s="308" t="n"/>
    </row>
    <row r="646">
      <c r="C646" s="310" t="n"/>
      <c r="D646" s="310" t="n"/>
      <c r="E646" s="255" t="n"/>
      <c r="F646" s="310" t="n"/>
    </row>
    <row r="647">
      <c r="A647" s="307" t="n"/>
      <c r="B647" s="307" t="n"/>
      <c r="C647" s="308" t="n"/>
      <c r="D647" s="308" t="n"/>
      <c r="E647" s="309" t="n"/>
      <c r="F647" s="308" t="n"/>
    </row>
    <row r="648">
      <c r="A648" s="307" t="n"/>
      <c r="B648" s="307" t="n"/>
      <c r="C648" s="308" t="n"/>
      <c r="D648" s="308" t="n"/>
      <c r="E648" s="309" t="n"/>
      <c r="F648" s="308" t="n"/>
    </row>
    <row r="649">
      <c r="A649" s="307" t="n"/>
      <c r="B649" s="307" t="n"/>
      <c r="C649" s="308" t="n"/>
      <c r="D649" s="308" t="n"/>
      <c r="E649" s="309" t="n"/>
      <c r="F649" s="308" t="n"/>
    </row>
    <row r="650">
      <c r="A650" s="307" t="n"/>
      <c r="B650" s="307" t="n"/>
      <c r="C650" s="308" t="n"/>
      <c r="D650" s="308" t="n"/>
      <c r="E650" s="309" t="n"/>
      <c r="F650" s="308" t="n"/>
    </row>
    <row r="651">
      <c r="C651" s="310" t="n"/>
      <c r="D651" s="310" t="n"/>
      <c r="E651" s="255" t="n"/>
      <c r="F651" s="310" t="n"/>
    </row>
    <row r="652">
      <c r="A652" s="307" t="n"/>
      <c r="B652" s="307" t="n"/>
      <c r="C652" s="308" t="n"/>
      <c r="D652" s="308" t="n"/>
      <c r="E652" s="309" t="n"/>
      <c r="F652" s="308" t="n"/>
    </row>
    <row r="653">
      <c r="A653" s="307" t="n"/>
      <c r="B653" s="307" t="n"/>
      <c r="C653" s="308" t="n"/>
      <c r="D653" s="308" t="n"/>
      <c r="E653" s="309" t="n"/>
      <c r="F653" s="308" t="n"/>
    </row>
    <row r="654">
      <c r="A654" s="307" t="n"/>
      <c r="B654" s="307" t="n"/>
      <c r="C654" s="308" t="n"/>
      <c r="D654" s="308" t="n"/>
      <c r="E654" s="309" t="n"/>
      <c r="F654" s="308" t="n"/>
    </row>
    <row r="655">
      <c r="A655" s="307" t="n"/>
      <c r="B655" s="307" t="n"/>
      <c r="C655" s="308" t="n"/>
      <c r="D655" s="308" t="n"/>
      <c r="E655" s="309" t="n"/>
      <c r="F655" s="308" t="n"/>
    </row>
    <row r="656">
      <c r="C656" s="310" t="n"/>
      <c r="D656" s="310" t="n"/>
      <c r="E656" s="255" t="n"/>
      <c r="F656" s="310" t="n"/>
    </row>
    <row r="657">
      <c r="A657" s="307" t="n"/>
      <c r="B657" s="307" t="n"/>
      <c r="C657" s="308" t="n"/>
      <c r="D657" s="308" t="n"/>
      <c r="E657" s="309" t="n"/>
      <c r="F657" s="308" t="n"/>
    </row>
    <row r="658">
      <c r="A658" s="307" t="n"/>
      <c r="B658" s="307" t="n"/>
      <c r="C658" s="308" t="n"/>
      <c r="D658" s="308" t="n"/>
      <c r="E658" s="309" t="n"/>
      <c r="F658" s="308" t="n"/>
    </row>
    <row r="659">
      <c r="A659" s="307" t="n"/>
      <c r="B659" s="307" t="n"/>
      <c r="C659" s="308" t="n"/>
      <c r="D659" s="308" t="n"/>
      <c r="E659" s="309" t="n"/>
      <c r="F659" s="308" t="n"/>
    </row>
    <row r="660">
      <c r="A660" s="307" t="n"/>
      <c r="B660" s="307" t="n"/>
      <c r="C660" s="308" t="n"/>
      <c r="D660" s="308" t="n"/>
      <c r="E660" s="309" t="n"/>
      <c r="F660" s="308" t="n"/>
    </row>
    <row r="661">
      <c r="C661" s="310" t="n"/>
      <c r="D661" s="310" t="n"/>
      <c r="E661" s="255" t="n"/>
      <c r="F661" s="310" t="n"/>
    </row>
    <row r="662">
      <c r="A662" s="307" t="n"/>
      <c r="B662" s="307" t="n"/>
      <c r="C662" s="308" t="n"/>
      <c r="D662" s="308" t="n"/>
      <c r="E662" s="309" t="n"/>
      <c r="F662" s="308" t="n"/>
    </row>
    <row r="663">
      <c r="A663" s="307" t="n"/>
      <c r="B663" s="307" t="n"/>
      <c r="C663" s="308" t="n"/>
      <c r="D663" s="308" t="n"/>
      <c r="E663" s="309" t="n"/>
      <c r="F663" s="308" t="n"/>
    </row>
    <row r="664">
      <c r="A664" s="307" t="n"/>
      <c r="B664" s="307" t="n"/>
      <c r="C664" s="308" t="n"/>
      <c r="D664" s="308" t="n"/>
      <c r="E664" s="309" t="n"/>
      <c r="F664" s="308" t="n"/>
    </row>
    <row r="665">
      <c r="A665" s="307" t="n"/>
      <c r="B665" s="307" t="n"/>
      <c r="C665" s="308" t="n"/>
      <c r="D665" s="308" t="n"/>
      <c r="E665" s="309" t="n"/>
      <c r="F665" s="308" t="n"/>
    </row>
    <row r="666">
      <c r="C666" s="310" t="n"/>
      <c r="D666" s="310" t="n"/>
      <c r="E666" s="255" t="n"/>
      <c r="F666" s="310" t="n"/>
    </row>
    <row r="667">
      <c r="C667" s="310" t="n"/>
      <c r="D667" s="310" t="n"/>
      <c r="E667" s="255" t="n"/>
      <c r="F667" s="310" t="n"/>
    </row>
    <row r="668">
      <c r="C668" s="310" t="n"/>
      <c r="D668" s="310" t="n"/>
      <c r="E668" s="255" t="n"/>
      <c r="F668" s="310" t="n"/>
    </row>
    <row r="669">
      <c r="C669" s="310" t="n"/>
      <c r="D669" s="310" t="n"/>
      <c r="E669" s="255" t="n"/>
      <c r="F669" s="310" t="n"/>
    </row>
    <row r="670">
      <c r="C670" s="310" t="n"/>
      <c r="D670" s="310" t="n"/>
      <c r="E670" s="255" t="n"/>
      <c r="F670" s="310" t="n"/>
    </row>
    <row r="671">
      <c r="A671" s="307" t="n"/>
      <c r="B671" s="307" t="n"/>
      <c r="C671" s="308" t="n"/>
      <c r="D671" s="308" t="n"/>
      <c r="E671" s="309" t="n"/>
      <c r="F671" s="308" t="n"/>
    </row>
    <row r="672">
      <c r="A672" s="307" t="n"/>
      <c r="B672" s="307" t="n"/>
      <c r="C672" s="308" t="n"/>
      <c r="D672" s="308" t="n"/>
      <c r="E672" s="309" t="n"/>
      <c r="F672" s="308" t="n"/>
    </row>
    <row r="673">
      <c r="A673" s="307" t="n"/>
      <c r="B673" s="307" t="n"/>
      <c r="C673" s="308" t="n"/>
      <c r="D673" s="308" t="n"/>
      <c r="E673" s="309" t="n"/>
      <c r="F673" s="308" t="n"/>
    </row>
    <row r="674">
      <c r="A674" s="307" t="n"/>
      <c r="B674" s="307" t="n"/>
      <c r="C674" s="308" t="n"/>
      <c r="D674" s="308" t="n"/>
      <c r="E674" s="309" t="n"/>
      <c r="F674" s="308" t="n"/>
    </row>
    <row r="675">
      <c r="C675" s="310" t="n"/>
      <c r="D675" s="310" t="n"/>
      <c r="E675" s="255" t="n"/>
      <c r="F675" s="310" t="n"/>
    </row>
    <row r="676">
      <c r="C676" s="310" t="n"/>
      <c r="D676" s="310" t="n"/>
      <c r="E676" s="255" t="n"/>
      <c r="F676" s="310" t="n"/>
    </row>
    <row r="677">
      <c r="C677" s="310" t="n"/>
      <c r="D677" s="310" t="n"/>
      <c r="E677" s="255" t="n"/>
      <c r="F677" s="310" t="n"/>
    </row>
    <row r="678">
      <c r="A678" s="307" t="n"/>
      <c r="B678" s="307" t="n"/>
      <c r="C678" s="308" t="n"/>
      <c r="D678" s="308" t="n"/>
      <c r="E678" s="309" t="n"/>
      <c r="F678" s="308" t="n"/>
    </row>
    <row r="679">
      <c r="A679" s="307" t="n"/>
      <c r="B679" s="307" t="n"/>
      <c r="C679" s="308" t="n"/>
      <c r="D679" s="308" t="n"/>
      <c r="E679" s="309" t="n"/>
      <c r="F679" s="308" t="n"/>
    </row>
    <row r="680">
      <c r="C680" s="310" t="n"/>
      <c r="D680" s="310" t="n"/>
      <c r="E680" s="255" t="n"/>
      <c r="F680" s="310" t="n"/>
    </row>
    <row r="681">
      <c r="A681" s="307" t="n"/>
      <c r="B681" s="307" t="n"/>
      <c r="C681" s="308" t="n"/>
      <c r="D681" s="308" t="n"/>
      <c r="E681" s="309" t="n"/>
      <c r="F681" s="308" t="n"/>
    </row>
    <row r="682">
      <c r="A682" s="307" t="n"/>
      <c r="B682" s="307" t="n"/>
      <c r="C682" s="308" t="n"/>
      <c r="D682" s="308" t="n"/>
      <c r="E682" s="309" t="n"/>
      <c r="F682" s="308" t="n"/>
    </row>
    <row r="683">
      <c r="A683" s="307" t="n"/>
      <c r="B683" s="307" t="n"/>
      <c r="C683" s="308" t="n"/>
      <c r="D683" s="308" t="n"/>
      <c r="E683" s="309" t="n"/>
      <c r="F683" s="308" t="n"/>
    </row>
    <row r="684">
      <c r="A684" s="307" t="n"/>
      <c r="B684" s="307" t="n"/>
      <c r="C684" s="308" t="n"/>
      <c r="D684" s="308" t="n"/>
      <c r="E684" s="309" t="n"/>
      <c r="F684" s="308" t="n"/>
    </row>
    <row r="685">
      <c r="C685" s="310" t="n"/>
      <c r="D685" s="310" t="n"/>
      <c r="E685" s="255" t="n"/>
      <c r="F685" s="310" t="n"/>
    </row>
    <row r="686">
      <c r="A686" s="307" t="n"/>
      <c r="B686" s="307" t="n"/>
      <c r="C686" s="308" t="n"/>
      <c r="D686" s="308" t="n"/>
      <c r="E686" s="309" t="n"/>
      <c r="F686" s="308" t="n"/>
    </row>
    <row r="687">
      <c r="A687" s="307" t="n"/>
      <c r="B687" s="307" t="n"/>
      <c r="C687" s="308" t="n"/>
      <c r="D687" s="308" t="n"/>
      <c r="E687" s="309" t="n"/>
      <c r="F687" s="308" t="n"/>
    </row>
    <row r="688">
      <c r="A688" s="307" t="n"/>
      <c r="B688" s="307" t="n"/>
      <c r="C688" s="308" t="n"/>
      <c r="D688" s="308" t="n"/>
      <c r="E688" s="309" t="n"/>
      <c r="F688" s="308" t="n"/>
    </row>
    <row r="689">
      <c r="A689" s="307" t="n"/>
      <c r="B689" s="307" t="n"/>
      <c r="C689" s="308" t="n"/>
      <c r="D689" s="308" t="n"/>
      <c r="E689" s="309" t="n"/>
      <c r="F689" s="308" t="n"/>
    </row>
    <row r="690">
      <c r="C690" s="310" t="n"/>
      <c r="D690" s="310" t="n"/>
      <c r="E690" s="255" t="n"/>
      <c r="F690" s="310" t="n"/>
    </row>
    <row r="691">
      <c r="A691" s="307" t="n"/>
      <c r="B691" s="307" t="n"/>
      <c r="C691" s="308" t="n"/>
      <c r="D691" s="308" t="n"/>
      <c r="E691" s="309" t="n"/>
      <c r="F691" s="308" t="n"/>
    </row>
    <row r="692">
      <c r="A692" s="307" t="n"/>
      <c r="B692" s="307" t="n"/>
      <c r="C692" s="308" t="n"/>
      <c r="D692" s="308" t="n"/>
      <c r="E692" s="309" t="n"/>
      <c r="F692" s="308" t="n"/>
    </row>
    <row r="693">
      <c r="A693" s="307" t="n"/>
      <c r="B693" s="307" t="n"/>
      <c r="C693" s="308" t="n"/>
      <c r="D693" s="308" t="n"/>
      <c r="E693" s="309" t="n"/>
      <c r="F693" s="308" t="n"/>
    </row>
    <row r="694">
      <c r="A694" s="307" t="n"/>
      <c r="B694" s="307" t="n"/>
      <c r="C694" s="308" t="n"/>
      <c r="D694" s="308" t="n"/>
      <c r="E694" s="309" t="n"/>
      <c r="F694" s="308" t="n"/>
    </row>
    <row r="695">
      <c r="C695" s="310" t="n"/>
      <c r="D695" s="310" t="n"/>
      <c r="E695" s="255" t="n"/>
      <c r="F695" s="310" t="n"/>
    </row>
    <row r="696">
      <c r="C696" s="310" t="n"/>
      <c r="D696" s="310" t="n"/>
      <c r="E696" s="255" t="n"/>
      <c r="F696" s="310" t="n"/>
    </row>
    <row r="697">
      <c r="C697" s="310" t="n"/>
      <c r="D697" s="310" t="n"/>
      <c r="E697" s="255" t="n"/>
      <c r="F697" s="310" t="n"/>
    </row>
    <row r="698">
      <c r="A698" s="307" t="n"/>
      <c r="B698" s="307" t="n"/>
      <c r="C698" s="308" t="n"/>
      <c r="D698" s="308" t="n"/>
      <c r="E698" s="309" t="n"/>
      <c r="F698" s="308" t="n"/>
    </row>
    <row r="699">
      <c r="A699" s="307" t="n"/>
      <c r="B699" s="307" t="n"/>
      <c r="C699" s="308" t="n"/>
      <c r="D699" s="308" t="n"/>
      <c r="E699" s="309" t="n"/>
      <c r="F699" s="308" t="n"/>
    </row>
    <row r="700">
      <c r="A700" s="307" t="n"/>
      <c r="B700" s="307" t="n"/>
      <c r="C700" s="308" t="n"/>
      <c r="D700" s="308" t="n"/>
      <c r="E700" s="309" t="n"/>
      <c r="F700" s="308" t="n"/>
    </row>
    <row r="701">
      <c r="A701" s="307" t="n"/>
      <c r="B701" s="307" t="n"/>
      <c r="C701" s="308" t="n"/>
      <c r="D701" s="308" t="n"/>
      <c r="E701" s="309" t="n"/>
      <c r="F701" s="308" t="n"/>
    </row>
    <row r="702">
      <c r="C702" s="310" t="n"/>
      <c r="D702" s="310" t="n"/>
      <c r="E702" s="255" t="n"/>
      <c r="F702" s="310" t="n"/>
    </row>
    <row r="703">
      <c r="C703" s="310" t="n"/>
      <c r="D703" s="310" t="n"/>
      <c r="E703" s="255" t="n"/>
      <c r="F703" s="310" t="n"/>
    </row>
    <row r="704">
      <c r="C704" s="310" t="n"/>
      <c r="D704" s="310" t="n"/>
      <c r="E704" s="255" t="n"/>
      <c r="F704" s="310" t="n"/>
    </row>
    <row r="705">
      <c r="C705" s="310" t="n"/>
      <c r="D705" s="310" t="n"/>
      <c r="E705" s="255" t="n"/>
      <c r="F705" s="310" t="n"/>
    </row>
    <row r="706">
      <c r="A706" s="307" t="n"/>
      <c r="B706" s="307" t="n"/>
      <c r="C706" s="308" t="n"/>
      <c r="D706" s="308" t="n"/>
      <c r="E706" s="309" t="n"/>
      <c r="F706" s="308" t="n"/>
    </row>
    <row r="707">
      <c r="A707" s="307" t="n"/>
      <c r="B707" s="307" t="n"/>
      <c r="C707" s="308" t="n"/>
      <c r="D707" s="308" t="n"/>
      <c r="E707" s="309" t="n"/>
      <c r="F707" s="308" t="n"/>
    </row>
    <row r="708">
      <c r="A708" s="307" t="n"/>
      <c r="B708" s="307" t="n"/>
      <c r="C708" s="308" t="n"/>
      <c r="D708" s="308" t="n"/>
      <c r="E708" s="309" t="n"/>
      <c r="F708" s="308" t="n"/>
    </row>
    <row r="709">
      <c r="A709" s="307" t="n"/>
      <c r="B709" s="307" t="n"/>
      <c r="C709" s="308" t="n"/>
      <c r="D709" s="308" t="n"/>
      <c r="E709" s="309" t="n"/>
      <c r="F709" s="308" t="n"/>
    </row>
    <row r="710">
      <c r="C710" s="310" t="n"/>
      <c r="D710" s="310" t="n"/>
      <c r="E710" s="255" t="n"/>
      <c r="F710" s="310" t="n"/>
    </row>
    <row r="711">
      <c r="C711" s="310" t="n"/>
      <c r="D711" s="310" t="n"/>
      <c r="E711" s="255" t="n"/>
      <c r="F711" s="310" t="n"/>
    </row>
    <row r="712">
      <c r="C712" s="310" t="n"/>
      <c r="D712" s="310" t="n"/>
      <c r="E712" s="255" t="n"/>
      <c r="F712" s="310" t="n"/>
    </row>
    <row r="713">
      <c r="C713" s="310" t="n"/>
      <c r="D713" s="310" t="n"/>
      <c r="E713" s="255" t="n"/>
      <c r="F713" s="310" t="n"/>
    </row>
    <row r="714">
      <c r="C714" s="310" t="n"/>
      <c r="D714" s="310" t="n"/>
      <c r="E714" s="255" t="n"/>
      <c r="F714" s="310" t="n"/>
    </row>
    <row r="715">
      <c r="C715" s="310" t="n"/>
      <c r="D715" s="310" t="n"/>
      <c r="E715" s="255" t="n"/>
      <c r="F715" s="310" t="n"/>
    </row>
    <row r="716">
      <c r="C716" s="310" t="n"/>
      <c r="D716" s="310" t="n"/>
      <c r="E716" s="255" t="n"/>
      <c r="F716" s="310" t="n"/>
    </row>
    <row r="717">
      <c r="C717" s="310" t="n"/>
      <c r="D717" s="310" t="n"/>
      <c r="E717" s="255" t="n"/>
      <c r="F717" s="310" t="n"/>
    </row>
    <row r="718">
      <c r="C718" s="310" t="n"/>
      <c r="D718" s="310" t="n"/>
      <c r="E718" s="255" t="n"/>
      <c r="F718" s="310" t="n"/>
    </row>
    <row r="719">
      <c r="C719" s="310" t="n"/>
      <c r="D719" s="310" t="n"/>
      <c r="E719" s="255" t="n"/>
      <c r="F719" s="310" t="n"/>
    </row>
    <row r="720">
      <c r="A720" s="307" t="n"/>
      <c r="B720" s="307" t="n"/>
      <c r="C720" s="308" t="n"/>
      <c r="D720" s="308" t="n"/>
      <c r="E720" s="309" t="n"/>
      <c r="F720" s="308" t="n"/>
    </row>
    <row r="721">
      <c r="A721" s="307" t="n"/>
      <c r="B721" s="307" t="n"/>
      <c r="C721" s="308" t="n"/>
      <c r="D721" s="308" t="n"/>
      <c r="E721" s="309" t="n"/>
      <c r="F721" s="308" t="n"/>
    </row>
    <row r="722">
      <c r="C722" s="310" t="n"/>
      <c r="D722" s="310" t="n"/>
      <c r="E722" s="255" t="n"/>
      <c r="F722" s="310" t="n"/>
    </row>
    <row r="723">
      <c r="C723" s="310" t="n"/>
      <c r="D723" s="310" t="n"/>
      <c r="E723" s="255" t="n"/>
      <c r="F723" s="310" t="n"/>
    </row>
    <row r="724">
      <c r="A724" s="307" t="n"/>
      <c r="B724" s="307" t="n"/>
      <c r="C724" s="308" t="n"/>
      <c r="D724" s="308" t="n"/>
      <c r="E724" s="309" t="n"/>
      <c r="F724" s="308" t="n"/>
    </row>
    <row r="725">
      <c r="A725" s="307" t="n"/>
      <c r="B725" s="307" t="n"/>
      <c r="C725" s="308" t="n"/>
      <c r="D725" s="308" t="n"/>
      <c r="E725" s="309" t="n"/>
      <c r="F725" s="308" t="n"/>
    </row>
    <row r="726">
      <c r="C726" s="310" t="n"/>
      <c r="D726" s="310" t="n"/>
      <c r="E726" s="255" t="n"/>
      <c r="F726" s="310" t="n"/>
    </row>
    <row r="727">
      <c r="A727" s="307" t="n"/>
      <c r="B727" s="307" t="n"/>
      <c r="C727" s="308" t="n"/>
      <c r="D727" s="308" t="n"/>
      <c r="E727" s="309" t="n"/>
      <c r="F727" s="308" t="n"/>
    </row>
    <row r="728">
      <c r="A728" s="307" t="n"/>
      <c r="B728" s="307" t="n"/>
      <c r="C728" s="308" t="n"/>
      <c r="D728" s="308" t="n"/>
      <c r="E728" s="309" t="n"/>
      <c r="F728" s="308" t="n"/>
    </row>
    <row r="729">
      <c r="A729" s="307" t="n"/>
      <c r="B729" s="307" t="n"/>
      <c r="C729" s="308" t="n"/>
      <c r="D729" s="308" t="n"/>
      <c r="E729" s="309" t="n"/>
      <c r="F729" s="308" t="n"/>
    </row>
    <row r="730">
      <c r="A730" s="307" t="n"/>
      <c r="B730" s="307" t="n"/>
      <c r="C730" s="308" t="n"/>
      <c r="D730" s="308" t="n"/>
      <c r="E730" s="309" t="n"/>
      <c r="F730" s="308" t="n"/>
    </row>
    <row r="731">
      <c r="C731" s="310" t="n"/>
      <c r="D731" s="310" t="n"/>
      <c r="E731" s="255" t="n"/>
      <c r="F731" s="310" t="n"/>
    </row>
    <row r="732">
      <c r="C732" s="310" t="n"/>
      <c r="D732" s="310" t="n"/>
      <c r="E732" s="255" t="n"/>
      <c r="F732" s="310" t="n"/>
    </row>
    <row r="733">
      <c r="C733" s="310" t="n"/>
      <c r="D733" s="310" t="n"/>
      <c r="E733" s="255" t="n"/>
      <c r="F733" s="310" t="n"/>
    </row>
    <row r="734">
      <c r="C734" s="310" t="n"/>
      <c r="D734" s="310" t="n"/>
      <c r="E734" s="255" t="n"/>
      <c r="F734" s="310" t="n"/>
    </row>
    <row r="735">
      <c r="A735" s="307" t="n"/>
      <c r="B735" s="307" t="n"/>
      <c r="C735" s="308" t="n"/>
      <c r="D735" s="308" t="n"/>
      <c r="E735" s="309" t="n"/>
      <c r="F735" s="308" t="n"/>
    </row>
    <row r="736">
      <c r="A736" s="307" t="n"/>
      <c r="B736" s="307" t="n"/>
      <c r="C736" s="308" t="n"/>
      <c r="D736" s="308" t="n"/>
      <c r="E736" s="309" t="n"/>
      <c r="F736" s="308" t="n"/>
    </row>
    <row r="737">
      <c r="A737" s="307" t="n"/>
      <c r="B737" s="307" t="n"/>
      <c r="C737" s="308" t="n"/>
      <c r="D737" s="308" t="n"/>
      <c r="E737" s="309" t="n"/>
      <c r="F737" s="308" t="n"/>
    </row>
    <row r="738">
      <c r="A738" s="307" t="n"/>
      <c r="B738" s="307" t="n"/>
      <c r="C738" s="308" t="n"/>
      <c r="D738" s="308" t="n"/>
      <c r="E738" s="309" t="n"/>
      <c r="F738" s="308" t="n"/>
    </row>
    <row r="739">
      <c r="C739" s="310" t="n"/>
      <c r="D739" s="310" t="n"/>
      <c r="E739" s="255" t="n"/>
      <c r="F739" s="310" t="n"/>
    </row>
    <row r="740">
      <c r="C740" s="310" t="n"/>
      <c r="D740" s="310" t="n"/>
      <c r="E740" s="255" t="n"/>
      <c r="F740" s="310" t="n"/>
    </row>
    <row r="741">
      <c r="C741" s="310" t="n"/>
      <c r="D741" s="310" t="n"/>
      <c r="E741" s="255" t="n"/>
      <c r="F741" s="310" t="n"/>
    </row>
    <row r="742">
      <c r="C742" s="310" t="n"/>
      <c r="D742" s="310" t="n"/>
      <c r="E742" s="255" t="n"/>
      <c r="F742" s="310" t="n"/>
    </row>
    <row r="743">
      <c r="C743" s="310" t="n"/>
      <c r="D743" s="310" t="n"/>
      <c r="E743" s="255" t="n"/>
      <c r="F743" s="310" t="n"/>
    </row>
    <row r="744">
      <c r="A744" s="307" t="n"/>
      <c r="B744" s="307" t="n"/>
      <c r="C744" s="308" t="n"/>
      <c r="D744" s="308" t="n"/>
      <c r="E744" s="309" t="n"/>
      <c r="F744" s="308" t="n"/>
    </row>
    <row r="745">
      <c r="A745" s="307" t="n"/>
      <c r="B745" s="307" t="n"/>
      <c r="C745" s="308" t="n"/>
      <c r="D745" s="308" t="n"/>
      <c r="E745" s="309" t="n"/>
      <c r="F745" s="308" t="n"/>
    </row>
    <row r="746">
      <c r="C746" s="310" t="n"/>
      <c r="D746" s="310" t="n"/>
      <c r="E746" s="255" t="n"/>
      <c r="F746" s="310" t="n"/>
    </row>
    <row r="747">
      <c r="C747" s="310" t="n"/>
      <c r="D747" s="310" t="n"/>
      <c r="E747" s="255" t="n"/>
      <c r="F747" s="310" t="n"/>
    </row>
    <row r="748">
      <c r="C748" s="310" t="n"/>
      <c r="D748" s="310" t="n"/>
      <c r="E748" s="255" t="n"/>
      <c r="F748" s="310" t="n"/>
    </row>
    <row r="749">
      <c r="A749" s="307" t="n"/>
      <c r="B749" s="307" t="n"/>
      <c r="C749" s="308" t="n"/>
      <c r="D749" s="308" t="n"/>
      <c r="E749" s="309" t="n"/>
      <c r="F749" s="308" t="n"/>
    </row>
    <row r="750">
      <c r="C750" s="310" t="n"/>
      <c r="D750" s="310" t="n"/>
      <c r="E750" s="255" t="n"/>
      <c r="F750" s="310" t="n"/>
    </row>
    <row r="751">
      <c r="A751" s="307" t="n"/>
      <c r="B751" s="307" t="n"/>
      <c r="C751" s="308" t="n"/>
      <c r="D751" s="308" t="n"/>
      <c r="E751" s="309" t="n"/>
      <c r="F751" s="308" t="n"/>
    </row>
    <row r="752">
      <c r="C752" s="310" t="n"/>
      <c r="D752" s="310" t="n"/>
      <c r="E752" s="255" t="n"/>
      <c r="F752" s="310" t="n"/>
    </row>
    <row r="753">
      <c r="C753" s="310" t="n"/>
      <c r="D753" s="310" t="n"/>
      <c r="E753" s="255" t="n"/>
      <c r="F753" s="310" t="n"/>
    </row>
    <row r="754">
      <c r="C754" s="310" t="n"/>
      <c r="D754" s="310" t="n"/>
      <c r="E754" s="255" t="n"/>
      <c r="F754" s="310" t="n"/>
    </row>
    <row r="755">
      <c r="A755" s="307" t="n"/>
      <c r="B755" s="307" t="n"/>
      <c r="C755" s="308" t="n"/>
      <c r="D755" s="308" t="n"/>
      <c r="E755" s="309" t="n"/>
      <c r="F755" s="308" t="n"/>
    </row>
    <row r="756">
      <c r="C756" s="310" t="n"/>
      <c r="D756" s="310" t="n"/>
      <c r="E756" s="255" t="n"/>
      <c r="F756" s="310" t="n"/>
    </row>
    <row r="757">
      <c r="A757" s="307" t="n"/>
      <c r="B757" s="307" t="n"/>
      <c r="C757" s="308" t="n"/>
      <c r="D757" s="308" t="n"/>
      <c r="E757" s="309" t="n"/>
      <c r="F757" s="308" t="n"/>
    </row>
    <row r="758">
      <c r="C758" s="310" t="n"/>
      <c r="D758" s="310" t="n"/>
      <c r="E758" s="255" t="n"/>
      <c r="F758" s="310" t="n"/>
    </row>
    <row r="759">
      <c r="A759" s="307" t="n"/>
      <c r="B759" s="307" t="n"/>
      <c r="C759" s="308" t="n"/>
      <c r="D759" s="308" t="n"/>
      <c r="E759" s="309" t="n"/>
      <c r="F759" s="308" t="n"/>
    </row>
    <row r="760">
      <c r="A760" s="307" t="n"/>
      <c r="B760" s="307" t="n"/>
      <c r="C760" s="308" t="n"/>
      <c r="D760" s="308" t="n"/>
      <c r="E760" s="309" t="n"/>
      <c r="F760" s="308" t="n"/>
    </row>
    <row r="761">
      <c r="C761" s="310" t="n"/>
      <c r="D761" s="310" t="n"/>
      <c r="E761" s="255" t="n"/>
      <c r="F761" s="310" t="n"/>
    </row>
    <row r="762">
      <c r="A762" s="307" t="n"/>
      <c r="B762" s="307" t="n"/>
      <c r="C762" s="308" t="n"/>
      <c r="D762" s="308" t="n"/>
      <c r="E762" s="309" t="n"/>
      <c r="F762" s="308" t="n"/>
    </row>
    <row r="763">
      <c r="C763" s="310" t="n"/>
      <c r="D763" s="310" t="n"/>
      <c r="E763" s="255" t="n"/>
      <c r="F763" s="310" t="n"/>
    </row>
    <row r="764">
      <c r="C764" s="310" t="n"/>
      <c r="D764" s="310" t="n"/>
      <c r="E764" s="255" t="n"/>
      <c r="F764" s="310" t="n"/>
    </row>
    <row r="765">
      <c r="C765" s="310" t="n"/>
      <c r="D765" s="310" t="n"/>
      <c r="E765" s="255" t="n"/>
      <c r="F765" s="310" t="n"/>
    </row>
    <row r="766">
      <c r="A766" s="307" t="n"/>
      <c r="B766" s="307" t="n"/>
      <c r="C766" s="308" t="n"/>
      <c r="D766" s="308" t="n"/>
      <c r="E766" s="309" t="n"/>
      <c r="F766" s="308" t="n"/>
    </row>
    <row r="767">
      <c r="C767" s="310" t="n"/>
      <c r="D767" s="310" t="n"/>
      <c r="E767" s="255" t="n"/>
      <c r="F767" s="310" t="n"/>
    </row>
    <row r="768">
      <c r="A768" s="307" t="n"/>
      <c r="B768" s="307" t="n"/>
      <c r="C768" s="308" t="n"/>
      <c r="D768" s="308" t="n"/>
      <c r="E768" s="309" t="n"/>
      <c r="F768" s="308" t="n"/>
    </row>
    <row r="769">
      <c r="A769" s="307" t="n"/>
      <c r="B769" s="307" t="n"/>
      <c r="C769" s="308" t="n"/>
      <c r="D769" s="308" t="n"/>
      <c r="E769" s="309" t="n"/>
      <c r="F769" s="308" t="n"/>
    </row>
    <row r="770">
      <c r="C770" s="310" t="n"/>
      <c r="D770" s="310" t="n"/>
      <c r="E770" s="255" t="n"/>
      <c r="F770" s="310" t="n"/>
    </row>
    <row r="771">
      <c r="A771" s="307" t="n"/>
      <c r="B771" s="307" t="n"/>
      <c r="C771" s="308" t="n"/>
      <c r="D771" s="308" t="n"/>
      <c r="E771" s="309" t="n"/>
      <c r="F771" s="308" t="n"/>
    </row>
    <row r="772">
      <c r="A772" s="307" t="n"/>
      <c r="B772" s="307" t="n"/>
      <c r="C772" s="308" t="n"/>
      <c r="D772" s="308" t="n"/>
      <c r="E772" s="309" t="n"/>
      <c r="F772" s="308" t="n"/>
    </row>
    <row r="773">
      <c r="C773" s="310" t="n"/>
      <c r="D773" s="310" t="n"/>
      <c r="E773" s="255" t="n"/>
      <c r="F773" s="310" t="n"/>
    </row>
    <row r="774">
      <c r="C774" s="310" t="n"/>
      <c r="D774" s="310" t="n"/>
      <c r="E774" s="255" t="n"/>
      <c r="F774" s="310" t="n"/>
    </row>
    <row r="775">
      <c r="C775" s="310" t="n"/>
      <c r="D775" s="310" t="n"/>
      <c r="E775" s="255" t="n"/>
      <c r="F775" s="310" t="n"/>
    </row>
    <row r="776">
      <c r="C776" s="310" t="n"/>
      <c r="D776" s="310" t="n"/>
      <c r="E776" s="255" t="n"/>
      <c r="F776" s="310" t="n"/>
    </row>
    <row r="777">
      <c r="C777" s="310" t="n"/>
      <c r="D777" s="310" t="n"/>
      <c r="E777" s="255" t="n"/>
      <c r="F777" s="310" t="n"/>
    </row>
    <row r="778">
      <c r="A778" s="307" t="n"/>
      <c r="B778" s="307" t="n"/>
      <c r="C778" s="308" t="n"/>
      <c r="D778" s="308" t="n"/>
      <c r="E778" s="309" t="n"/>
      <c r="F778" s="308" t="n"/>
    </row>
    <row r="779">
      <c r="A779" s="307" t="n"/>
      <c r="B779" s="307" t="n"/>
      <c r="C779" s="308" t="n"/>
      <c r="D779" s="308" t="n"/>
      <c r="E779" s="309" t="n"/>
      <c r="F779" s="308" t="n"/>
    </row>
    <row r="780">
      <c r="A780" s="307" t="n"/>
      <c r="B780" s="307" t="n"/>
      <c r="C780" s="308" t="n"/>
      <c r="D780" s="308" t="n"/>
      <c r="E780" s="309" t="n"/>
      <c r="F780" s="308" t="n"/>
    </row>
    <row r="781">
      <c r="A781" s="307" t="n"/>
      <c r="B781" s="307" t="n"/>
      <c r="C781" s="308" t="n"/>
      <c r="D781" s="308" t="n"/>
      <c r="E781" s="309" t="n"/>
      <c r="F781" s="308" t="n"/>
    </row>
    <row r="782">
      <c r="C782" s="310" t="n"/>
      <c r="D782" s="310" t="n"/>
      <c r="E782" s="255" t="n"/>
      <c r="F782" s="310" t="n"/>
    </row>
    <row r="783">
      <c r="C783" s="310" t="n"/>
      <c r="D783" s="310" t="n"/>
      <c r="E783" s="255" t="n"/>
      <c r="F783" s="310" t="n"/>
    </row>
    <row r="784">
      <c r="C784" s="310" t="n"/>
      <c r="D784" s="310" t="n"/>
      <c r="E784" s="255" t="n"/>
      <c r="F784" s="310" t="n"/>
    </row>
    <row r="785">
      <c r="C785" s="310" t="n"/>
      <c r="D785" s="310" t="n"/>
      <c r="E785" s="255" t="n"/>
      <c r="F785" s="310" t="n"/>
    </row>
    <row r="786">
      <c r="A786" s="307" t="n"/>
      <c r="B786" s="307" t="n"/>
      <c r="C786" s="308" t="n"/>
      <c r="D786" s="308" t="n"/>
      <c r="E786" s="309" t="n"/>
      <c r="F786" s="308" t="n"/>
    </row>
    <row r="787">
      <c r="A787" s="307" t="n"/>
      <c r="B787" s="307" t="n"/>
      <c r="C787" s="308" t="n"/>
      <c r="D787" s="308" t="n"/>
      <c r="E787" s="309" t="n"/>
      <c r="F787" s="308" t="n"/>
    </row>
    <row r="788">
      <c r="A788" s="307" t="n"/>
      <c r="B788" s="307" t="n"/>
      <c r="C788" s="308" t="n"/>
      <c r="D788" s="308" t="n"/>
      <c r="E788" s="309" t="n"/>
      <c r="F788" s="308" t="n"/>
    </row>
    <row r="789">
      <c r="A789" s="307" t="n"/>
      <c r="B789" s="307" t="n"/>
      <c r="C789" s="308" t="n"/>
      <c r="D789" s="308" t="n"/>
      <c r="E789" s="309" t="n"/>
      <c r="F789" s="308" t="n"/>
    </row>
    <row r="790">
      <c r="C790" s="310" t="n"/>
      <c r="D790" s="310" t="n"/>
      <c r="E790" s="255" t="n"/>
      <c r="F790" s="310" t="n"/>
    </row>
    <row r="791">
      <c r="C791" s="310" t="n"/>
      <c r="D791" s="310" t="n"/>
      <c r="E791" s="255" t="n"/>
      <c r="F791" s="310" t="n"/>
    </row>
    <row r="792">
      <c r="C792" s="310" t="n"/>
      <c r="D792" s="310" t="n"/>
      <c r="E792" s="255" t="n"/>
      <c r="F792" s="310" t="n"/>
    </row>
    <row r="793">
      <c r="C793" s="310" t="n"/>
      <c r="D793" s="310" t="n"/>
      <c r="E793" s="255" t="n"/>
      <c r="F793" s="310" t="n"/>
    </row>
    <row r="794">
      <c r="C794" s="310" t="n"/>
      <c r="D794" s="310" t="n"/>
      <c r="E794" s="255" t="n"/>
      <c r="F794" s="310" t="n"/>
    </row>
    <row r="795">
      <c r="A795" s="307" t="n"/>
      <c r="B795" s="307" t="n"/>
      <c r="C795" s="308" t="n"/>
      <c r="D795" s="308" t="n"/>
      <c r="E795" s="309" t="n"/>
      <c r="F795" s="308" t="n"/>
    </row>
    <row r="796">
      <c r="A796" s="307" t="n"/>
      <c r="B796" s="307" t="n"/>
      <c r="C796" s="308" t="n"/>
      <c r="D796" s="308" t="n"/>
      <c r="E796" s="309" t="n"/>
      <c r="F796" s="308" t="n"/>
    </row>
    <row r="797">
      <c r="C797" s="310" t="n"/>
      <c r="D797" s="310" t="n"/>
      <c r="E797" s="255" t="n"/>
      <c r="F797" s="310" t="n"/>
    </row>
    <row r="798">
      <c r="A798" s="307" t="n"/>
      <c r="B798" s="307" t="n"/>
      <c r="C798" s="308" t="n"/>
      <c r="D798" s="308" t="n"/>
      <c r="E798" s="309" t="n"/>
      <c r="F798" s="308" t="n"/>
    </row>
    <row r="799">
      <c r="C799" s="310" t="n"/>
      <c r="D799" s="310" t="n"/>
      <c r="E799" s="255" t="n"/>
      <c r="F799" s="310" t="n"/>
    </row>
    <row r="800">
      <c r="A800" s="307" t="n"/>
      <c r="B800" s="307" t="n"/>
      <c r="C800" s="308" t="n"/>
      <c r="D800" s="308" t="n"/>
      <c r="E800" s="309" t="n"/>
      <c r="F800" s="308" t="n"/>
    </row>
    <row r="801">
      <c r="A801" s="307" t="n"/>
      <c r="B801" s="307" t="n"/>
      <c r="C801" s="308" t="n"/>
      <c r="D801" s="308" t="n"/>
      <c r="E801" s="309" t="n"/>
      <c r="F801" s="308" t="n"/>
    </row>
    <row r="802">
      <c r="C802" s="310" t="n"/>
      <c r="D802" s="310" t="n"/>
      <c r="E802" s="255" t="n"/>
      <c r="F802" s="310" t="n"/>
    </row>
    <row r="803">
      <c r="A803" s="307" t="n"/>
      <c r="B803" s="307" t="n"/>
      <c r="C803" s="308" t="n"/>
      <c r="D803" s="308" t="n"/>
      <c r="E803" s="309" t="n"/>
      <c r="F803" s="308" t="n"/>
    </row>
    <row r="804">
      <c r="A804" s="307" t="n"/>
      <c r="B804" s="307" t="n"/>
      <c r="C804" s="308" t="n"/>
      <c r="D804" s="308" t="n"/>
      <c r="E804" s="309" t="n"/>
      <c r="F804" s="308" t="n"/>
    </row>
    <row r="805">
      <c r="A805" s="307" t="n"/>
      <c r="B805" s="307" t="n"/>
      <c r="C805" s="308" t="n"/>
      <c r="D805" s="308" t="n"/>
      <c r="E805" s="309" t="n"/>
      <c r="F805" s="308" t="n"/>
    </row>
    <row r="806">
      <c r="A806" s="307" t="n"/>
      <c r="B806" s="307" t="n"/>
      <c r="C806" s="308" t="n"/>
      <c r="D806" s="308" t="n"/>
      <c r="E806" s="309" t="n"/>
      <c r="F806" s="308" t="n"/>
    </row>
    <row r="807">
      <c r="C807" s="310" t="n"/>
      <c r="D807" s="310" t="n"/>
      <c r="E807" s="255" t="n"/>
      <c r="F807" s="310" t="n"/>
    </row>
    <row r="808">
      <c r="C808" s="310" t="n"/>
      <c r="D808" s="310" t="n"/>
      <c r="E808" s="255" t="n"/>
      <c r="F808" s="310" t="n"/>
    </row>
    <row r="809">
      <c r="C809" s="310" t="n"/>
      <c r="D809" s="310" t="n"/>
      <c r="E809" s="255" t="n"/>
      <c r="F809" s="310" t="n"/>
    </row>
    <row r="810">
      <c r="C810" s="310" t="n"/>
      <c r="D810" s="310" t="n"/>
      <c r="E810" s="255" t="n"/>
      <c r="F810" s="310" t="n"/>
    </row>
    <row r="811">
      <c r="A811" s="307" t="n"/>
      <c r="B811" s="307" t="n"/>
      <c r="C811" s="308" t="n"/>
      <c r="D811" s="308" t="n"/>
      <c r="E811" s="309" t="n"/>
      <c r="F811" s="308" t="n"/>
    </row>
    <row r="812">
      <c r="A812" s="307" t="n"/>
      <c r="B812" s="307" t="n"/>
      <c r="C812" s="308" t="n"/>
      <c r="D812" s="308" t="n"/>
      <c r="E812" s="309" t="n"/>
      <c r="F812" s="308" t="n"/>
    </row>
    <row r="813">
      <c r="A813" s="307" t="n"/>
      <c r="B813" s="307" t="n"/>
      <c r="C813" s="308" t="n"/>
      <c r="D813" s="308" t="n"/>
      <c r="E813" s="309" t="n"/>
      <c r="F813" s="308" t="n"/>
    </row>
    <row r="814">
      <c r="A814" s="307" t="n"/>
      <c r="B814" s="307" t="n"/>
      <c r="C814" s="308" t="n"/>
      <c r="D814" s="308" t="n"/>
      <c r="E814" s="309" t="n"/>
      <c r="F814" s="308" t="n"/>
    </row>
    <row r="815">
      <c r="C815" s="310" t="n"/>
      <c r="D815" s="310" t="n"/>
      <c r="E815" s="255" t="n"/>
      <c r="F815" s="310" t="n"/>
    </row>
    <row r="816">
      <c r="C816" s="310" t="n"/>
      <c r="D816" s="310" t="n"/>
      <c r="E816" s="255" t="n"/>
      <c r="F816" s="310" t="n"/>
    </row>
    <row r="817">
      <c r="C817" s="310" t="n"/>
      <c r="D817" s="310" t="n"/>
      <c r="E817" s="255" t="n"/>
      <c r="F817" s="310" t="n"/>
    </row>
    <row r="818">
      <c r="C818" s="310" t="n"/>
      <c r="D818" s="310" t="n"/>
      <c r="E818" s="255" t="n"/>
      <c r="F818" s="310" t="n"/>
    </row>
    <row r="819">
      <c r="C819" s="310" t="n"/>
      <c r="D819" s="310" t="n"/>
      <c r="E819" s="255" t="n"/>
      <c r="F819" s="310" t="n"/>
    </row>
    <row r="820">
      <c r="A820" s="307" t="n"/>
      <c r="B820" s="307" t="n"/>
      <c r="C820" s="308" t="n"/>
      <c r="D820" s="308" t="n"/>
      <c r="E820" s="309" t="n"/>
      <c r="F820" s="308" t="n"/>
    </row>
    <row r="821">
      <c r="A821" s="307" t="n"/>
      <c r="B821" s="307" t="n"/>
      <c r="C821" s="308" t="n"/>
      <c r="D821" s="308" t="n"/>
      <c r="E821" s="309" t="n"/>
      <c r="F821" s="308" t="n"/>
    </row>
    <row r="822">
      <c r="C822" s="310" t="n"/>
      <c r="D822" s="310" t="n"/>
      <c r="E822" s="255" t="n"/>
      <c r="F822" s="310" t="n"/>
    </row>
    <row r="823">
      <c r="A823" s="307" t="n"/>
      <c r="B823" s="307" t="n"/>
      <c r="C823" s="308" t="n"/>
      <c r="D823" s="308" t="n"/>
      <c r="E823" s="309" t="n"/>
      <c r="F823" s="308" t="n"/>
    </row>
    <row r="824">
      <c r="A824" s="307" t="n"/>
      <c r="B824" s="307" t="n"/>
      <c r="C824" s="308" t="n"/>
      <c r="D824" s="308" t="n"/>
      <c r="E824" s="309" t="n"/>
      <c r="F824" s="308" t="n"/>
    </row>
    <row r="825">
      <c r="C825" s="310" t="n"/>
      <c r="D825" s="310" t="n"/>
      <c r="E825" s="255" t="n"/>
      <c r="F825" s="310" t="n"/>
    </row>
    <row r="826">
      <c r="A826" s="307" t="n"/>
      <c r="B826" s="307" t="n"/>
      <c r="C826" s="308" t="n"/>
      <c r="D826" s="308" t="n"/>
      <c r="E826" s="309" t="n"/>
      <c r="F826" s="308" t="n"/>
    </row>
    <row r="827">
      <c r="C827" s="310" t="n"/>
      <c r="D827" s="310" t="n"/>
      <c r="E827" s="255" t="n"/>
      <c r="F827" s="310" t="n"/>
    </row>
    <row r="828">
      <c r="C828" s="310" t="n"/>
      <c r="D828" s="310" t="n"/>
      <c r="E828" s="255" t="n"/>
      <c r="F828" s="310" t="n"/>
    </row>
    <row r="829">
      <c r="A829" s="307" t="n"/>
      <c r="B829" s="307" t="n"/>
      <c r="C829" s="308" t="n"/>
      <c r="D829" s="308" t="n"/>
      <c r="E829" s="309" t="n"/>
      <c r="F829" s="308" t="n"/>
    </row>
    <row r="830">
      <c r="C830" s="310" t="n"/>
      <c r="D830" s="310" t="n"/>
      <c r="E830" s="255" t="n"/>
      <c r="F830" s="310" t="n"/>
    </row>
    <row r="831">
      <c r="A831" s="307" t="n"/>
      <c r="B831" s="307" t="n"/>
      <c r="C831" s="308" t="n"/>
      <c r="D831" s="308" t="n"/>
      <c r="E831" s="309" t="n"/>
      <c r="F831" s="308" t="n"/>
    </row>
    <row r="832">
      <c r="A832" s="307" t="n"/>
      <c r="B832" s="307" t="n"/>
      <c r="C832" s="308" t="n"/>
      <c r="D832" s="308" t="n"/>
      <c r="E832" s="309" t="n"/>
      <c r="F832" s="308" t="n"/>
    </row>
    <row r="833">
      <c r="C833" s="310" t="n"/>
      <c r="D833" s="310" t="n"/>
      <c r="E833" s="255" t="n"/>
      <c r="F833" s="310" t="n"/>
    </row>
    <row r="834">
      <c r="A834" s="307" t="n"/>
      <c r="B834" s="307" t="n"/>
      <c r="C834" s="308" t="n"/>
      <c r="D834" s="308" t="n"/>
      <c r="E834" s="309" t="n"/>
      <c r="F834" s="308" t="n"/>
    </row>
    <row r="835">
      <c r="A835" s="307" t="n"/>
      <c r="B835" s="307" t="n"/>
      <c r="C835" s="308" t="n"/>
      <c r="D835" s="308" t="n"/>
      <c r="E835" s="309" t="n"/>
      <c r="F835" s="308" t="n"/>
    </row>
    <row r="836">
      <c r="A836" s="307" t="n"/>
      <c r="B836" s="307" t="n"/>
      <c r="C836" s="308" t="n"/>
      <c r="D836" s="308" t="n"/>
      <c r="E836" s="309" t="n"/>
      <c r="F836" s="308" t="n"/>
    </row>
    <row r="837">
      <c r="A837" s="307" t="n"/>
      <c r="B837" s="307" t="n"/>
      <c r="C837" s="308" t="n"/>
      <c r="D837" s="308" t="n"/>
      <c r="E837" s="309" t="n"/>
      <c r="F837" s="308" t="n"/>
    </row>
    <row r="838">
      <c r="C838" s="310" t="n"/>
      <c r="D838" s="310" t="n"/>
      <c r="E838" s="255" t="n"/>
      <c r="F838" s="310" t="n"/>
    </row>
    <row r="839">
      <c r="C839" s="310" t="n"/>
      <c r="D839" s="310" t="n"/>
      <c r="E839" s="255" t="n"/>
      <c r="F839" s="310" t="n"/>
    </row>
    <row r="840">
      <c r="C840" s="310" t="n"/>
      <c r="D840" s="310" t="n"/>
      <c r="E840" s="255" t="n"/>
      <c r="F840" s="310" t="n"/>
    </row>
    <row r="841">
      <c r="C841" s="310" t="n"/>
      <c r="D841" s="310" t="n"/>
      <c r="E841" s="255" t="n"/>
      <c r="F841" s="310" t="n"/>
    </row>
    <row r="842">
      <c r="A842" s="307" t="n"/>
      <c r="B842" s="307" t="n"/>
      <c r="C842" s="308" t="n"/>
      <c r="D842" s="308" t="n"/>
      <c r="E842" s="309" t="n"/>
      <c r="F842" s="308" t="n"/>
    </row>
    <row r="843">
      <c r="A843" s="307" t="n"/>
      <c r="B843" s="307" t="n"/>
      <c r="C843" s="308" t="n"/>
      <c r="D843" s="308" t="n"/>
      <c r="E843" s="309" t="n"/>
      <c r="F843" s="308" t="n"/>
    </row>
    <row r="844">
      <c r="A844" s="307" t="n"/>
      <c r="B844" s="307" t="n"/>
      <c r="C844" s="308" t="n"/>
      <c r="D844" s="308" t="n"/>
      <c r="E844" s="309" t="n"/>
      <c r="F844" s="308" t="n"/>
    </row>
    <row r="845">
      <c r="A845" s="307" t="n"/>
      <c r="B845" s="307" t="n"/>
      <c r="C845" s="308" t="n"/>
      <c r="D845" s="308" t="n"/>
      <c r="E845" s="309" t="n"/>
      <c r="F845" s="308" t="n"/>
    </row>
    <row r="846">
      <c r="C846" s="310" t="n"/>
      <c r="D846" s="310" t="n"/>
      <c r="E846" s="255" t="n"/>
      <c r="F846" s="310" t="n"/>
    </row>
    <row r="847">
      <c r="C847" s="310" t="n"/>
      <c r="D847" s="310" t="n"/>
      <c r="E847" s="255" t="n"/>
      <c r="F847" s="310" t="n"/>
    </row>
    <row r="848">
      <c r="C848" s="310" t="n"/>
      <c r="D848" s="310" t="n"/>
      <c r="E848" s="255" t="n"/>
      <c r="F848" s="310" t="n"/>
    </row>
    <row r="849">
      <c r="C849" s="310" t="n"/>
      <c r="D849" s="310" t="n"/>
      <c r="E849" s="255" t="n"/>
      <c r="F849" s="310" t="n"/>
    </row>
    <row r="850">
      <c r="C850" s="310" t="n"/>
      <c r="D850" s="310" t="n"/>
      <c r="E850" s="255" t="n"/>
      <c r="F850" s="310" t="n"/>
    </row>
    <row r="851">
      <c r="C851" s="310" t="n"/>
      <c r="D851" s="310" t="n"/>
      <c r="E851" s="255" t="n"/>
      <c r="F851" s="310" t="n"/>
    </row>
    <row r="852">
      <c r="C852" s="310" t="n"/>
      <c r="D852" s="310" t="n"/>
      <c r="E852" s="255" t="n"/>
      <c r="F852" s="310" t="n"/>
    </row>
    <row r="853">
      <c r="C853" s="310" t="n"/>
      <c r="D853" s="310" t="n"/>
      <c r="E853" s="255" t="n"/>
      <c r="F853" s="310" t="n"/>
    </row>
    <row r="854">
      <c r="C854" s="310" t="n"/>
      <c r="D854" s="310" t="n"/>
      <c r="E854" s="255" t="n"/>
      <c r="F854" s="310" t="n"/>
    </row>
    <row r="855">
      <c r="A855" s="307" t="n"/>
      <c r="B855" s="307" t="n"/>
      <c r="C855" s="308" t="n"/>
      <c r="D855" s="308" t="n"/>
      <c r="E855" s="309" t="n"/>
      <c r="F855" s="308" t="n"/>
    </row>
    <row r="856">
      <c r="A856" s="307" t="n"/>
      <c r="B856" s="307" t="n"/>
      <c r="C856" s="308" t="n"/>
      <c r="D856" s="308" t="n"/>
      <c r="E856" s="309" t="n"/>
      <c r="F856" s="308" t="n"/>
    </row>
    <row r="857">
      <c r="C857" s="310" t="n"/>
      <c r="D857" s="310" t="n"/>
      <c r="E857" s="255" t="n"/>
      <c r="F857" s="310" t="n"/>
    </row>
    <row r="858">
      <c r="A858" s="307" t="n"/>
      <c r="B858" s="307" t="n"/>
      <c r="C858" s="308" t="n"/>
      <c r="D858" s="308" t="n"/>
      <c r="E858" s="309" t="n"/>
      <c r="F858" s="308" t="n"/>
    </row>
    <row r="859">
      <c r="A859" s="307" t="n"/>
      <c r="B859" s="307" t="n"/>
      <c r="C859" s="308" t="n"/>
      <c r="D859" s="308" t="n"/>
      <c r="E859" s="309" t="n"/>
      <c r="F859" s="308" t="n"/>
    </row>
    <row r="860">
      <c r="C860" s="310" t="n"/>
      <c r="D860" s="310" t="n"/>
      <c r="E860" s="255" t="n"/>
      <c r="F860" s="310" t="n"/>
    </row>
    <row r="861">
      <c r="C861" s="310" t="n"/>
      <c r="D861" s="310" t="n"/>
      <c r="E861" s="255" t="n"/>
      <c r="F861" s="310" t="n"/>
    </row>
    <row r="862">
      <c r="A862" s="307" t="n"/>
      <c r="B862" s="307" t="n"/>
      <c r="C862" s="308" t="n"/>
      <c r="D862" s="308" t="n"/>
      <c r="E862" s="309" t="n"/>
      <c r="F862" s="308" t="n"/>
    </row>
    <row r="863">
      <c r="C863" s="310" t="n"/>
      <c r="D863" s="310" t="n"/>
      <c r="E863" s="255" t="n"/>
      <c r="F863" s="310" t="n"/>
    </row>
    <row r="864">
      <c r="C864" s="310" t="n"/>
      <c r="D864" s="310" t="n"/>
      <c r="E864" s="255" t="n"/>
      <c r="F864" s="310" t="n"/>
    </row>
    <row r="865">
      <c r="A865" s="307" t="n"/>
      <c r="B865" s="307" t="n"/>
      <c r="C865" s="308" t="n"/>
      <c r="D865" s="308" t="n"/>
      <c r="E865" s="309" t="n"/>
      <c r="F865" s="308" t="n"/>
    </row>
    <row r="866">
      <c r="C866" s="310" t="n"/>
      <c r="D866" s="310" t="n"/>
      <c r="E866" s="255" t="n"/>
      <c r="F866" s="310" t="n"/>
    </row>
    <row r="867">
      <c r="C867" s="310" t="n"/>
      <c r="D867" s="310" t="n"/>
      <c r="E867" s="255" t="n"/>
      <c r="F867" s="310" t="n"/>
    </row>
    <row r="868">
      <c r="C868" s="310" t="n"/>
      <c r="D868" s="310" t="n"/>
      <c r="E868" s="255" t="n"/>
      <c r="F868" s="310" t="n"/>
    </row>
    <row r="869">
      <c r="C869" s="310" t="n"/>
      <c r="D869" s="310" t="n"/>
      <c r="E869" s="255" t="n"/>
      <c r="F869" s="310" t="n"/>
    </row>
    <row r="870">
      <c r="C870" s="310" t="n"/>
      <c r="D870" s="310" t="n"/>
      <c r="E870" s="255" t="n"/>
      <c r="F870" s="310" t="n"/>
    </row>
    <row r="871">
      <c r="C871" s="310" t="n"/>
      <c r="D871" s="310" t="n"/>
      <c r="E871" s="255" t="n"/>
      <c r="F871" s="310" t="n"/>
    </row>
    <row r="872">
      <c r="A872" s="307" t="n"/>
      <c r="B872" s="307" t="n"/>
      <c r="C872" s="308" t="n"/>
      <c r="D872" s="308" t="n"/>
      <c r="E872" s="309" t="n"/>
      <c r="F872" s="308" t="n"/>
    </row>
    <row r="873">
      <c r="C873" s="310" t="n"/>
      <c r="D873" s="310" t="n"/>
      <c r="E873" s="255" t="n"/>
      <c r="F873" s="310" t="n"/>
    </row>
    <row r="874">
      <c r="C874" s="310" t="n"/>
      <c r="D874" s="310" t="n"/>
      <c r="E874" s="255" t="n"/>
      <c r="F874" s="310" t="n"/>
    </row>
    <row r="875">
      <c r="C875" s="310" t="n"/>
      <c r="D875" s="310" t="n"/>
      <c r="E875" s="255" t="n"/>
      <c r="F875" s="310" t="n"/>
    </row>
    <row r="876">
      <c r="C876" s="310" t="n"/>
      <c r="D876" s="310" t="n"/>
      <c r="E876" s="255" t="n"/>
      <c r="F876" s="310" t="n"/>
    </row>
    <row r="877">
      <c r="A877" s="307" t="n"/>
      <c r="B877" s="307" t="n"/>
      <c r="C877" s="308" t="n"/>
      <c r="D877" s="308" t="n"/>
      <c r="E877" s="309" t="n"/>
      <c r="F877" s="308" t="n"/>
    </row>
    <row r="878">
      <c r="C878" s="310" t="n"/>
      <c r="D878" s="310" t="n"/>
      <c r="E878" s="255" t="n"/>
      <c r="F878" s="310" t="n"/>
    </row>
    <row r="879">
      <c r="C879" s="310" t="n"/>
      <c r="D879" s="310" t="n"/>
      <c r="E879" s="255" t="n"/>
      <c r="F879" s="310" t="n"/>
    </row>
    <row r="880">
      <c r="A880" s="307" t="n"/>
      <c r="B880" s="307" t="n"/>
      <c r="C880" s="308" t="n"/>
      <c r="D880" s="308" t="n"/>
      <c r="E880" s="309" t="n"/>
      <c r="F880" s="308" t="n"/>
    </row>
    <row r="881">
      <c r="C881" s="310" t="n"/>
      <c r="D881" s="310" t="n"/>
      <c r="E881" s="255" t="n"/>
      <c r="F881" s="310" t="n"/>
    </row>
    <row r="882">
      <c r="C882" s="310" t="n"/>
      <c r="D882" s="310" t="n"/>
      <c r="E882" s="255" t="n"/>
      <c r="F882" s="310" t="n"/>
    </row>
    <row r="883">
      <c r="C883" s="310" t="n"/>
      <c r="D883" s="310" t="n"/>
      <c r="E883" s="255" t="n"/>
      <c r="F883" s="310" t="n"/>
    </row>
    <row r="884">
      <c r="C884" s="310" t="n"/>
      <c r="D884" s="310" t="n"/>
      <c r="E884" s="255" t="n"/>
      <c r="F884" s="310" t="n"/>
    </row>
    <row r="885">
      <c r="C885" s="310" t="n"/>
      <c r="D885" s="310" t="n"/>
      <c r="E885" s="255" t="n"/>
      <c r="F885" s="310" t="n"/>
    </row>
    <row r="886">
      <c r="A886" s="307" t="n"/>
      <c r="B886" s="307" t="n"/>
      <c r="C886" s="308" t="n"/>
      <c r="D886" s="308" t="n"/>
      <c r="E886" s="309" t="n"/>
      <c r="F886" s="308" t="n"/>
    </row>
    <row r="887">
      <c r="A887" s="307" t="n"/>
      <c r="B887" s="307" t="n"/>
      <c r="C887" s="308" t="n"/>
      <c r="D887" s="308" t="n"/>
      <c r="E887" s="309" t="n"/>
      <c r="F887" s="308" t="n"/>
    </row>
    <row r="888">
      <c r="C888" s="310" t="n"/>
      <c r="D888" s="310" t="n"/>
      <c r="E888" s="255" t="n"/>
      <c r="F888" s="310" t="n"/>
    </row>
    <row r="889">
      <c r="A889" s="307" t="n"/>
      <c r="B889" s="307" t="n"/>
      <c r="C889" s="308" t="n"/>
      <c r="D889" s="308" t="n"/>
      <c r="E889" s="309" t="n"/>
      <c r="F889" s="308" t="n"/>
    </row>
    <row r="890">
      <c r="C890" s="310" t="n"/>
      <c r="D890" s="310" t="n"/>
      <c r="E890" s="255" t="n"/>
      <c r="F890" s="310" t="n"/>
    </row>
    <row r="891">
      <c r="C891" s="310" t="n"/>
      <c r="D891" s="310" t="n"/>
      <c r="E891" s="255" t="n"/>
      <c r="F891" s="310" t="n"/>
    </row>
    <row r="892">
      <c r="A892" s="307" t="n"/>
      <c r="B892" s="307" t="n"/>
      <c r="C892" s="308" t="n"/>
      <c r="D892" s="308" t="n"/>
      <c r="E892" s="309" t="n"/>
      <c r="F892" s="308" t="n"/>
    </row>
    <row r="893">
      <c r="C893" s="310" t="n"/>
      <c r="D893" s="310" t="n"/>
      <c r="E893" s="255" t="n"/>
      <c r="F893" s="310" t="n"/>
    </row>
    <row r="894">
      <c r="C894" s="310" t="n"/>
      <c r="D894" s="310" t="n"/>
      <c r="E894" s="255" t="n"/>
      <c r="F894" s="310" t="n"/>
    </row>
    <row r="895">
      <c r="C895" s="310" t="n"/>
      <c r="D895" s="310" t="n"/>
      <c r="E895" s="255" t="n"/>
      <c r="F895" s="310" t="n"/>
    </row>
    <row r="896">
      <c r="A896" s="307" t="n"/>
      <c r="B896" s="307" t="n"/>
      <c r="C896" s="308" t="n"/>
      <c r="D896" s="308" t="n"/>
      <c r="E896" s="309" t="n"/>
      <c r="F896" s="308" t="n"/>
    </row>
    <row r="897">
      <c r="C897" s="310" t="n"/>
      <c r="D897" s="310" t="n"/>
      <c r="E897" s="255" t="n"/>
      <c r="F897" s="310" t="n"/>
    </row>
    <row r="898">
      <c r="C898" s="310" t="n"/>
      <c r="D898" s="310" t="n"/>
      <c r="E898" s="255" t="n"/>
      <c r="F898" s="310" t="n"/>
    </row>
    <row r="899">
      <c r="A899" s="307" t="n"/>
      <c r="B899" s="307" t="n"/>
      <c r="C899" s="308" t="n"/>
      <c r="D899" s="308" t="n"/>
      <c r="E899" s="309" t="n"/>
      <c r="F899" s="308" t="n"/>
    </row>
    <row r="900">
      <c r="C900" s="310" t="n"/>
      <c r="D900" s="310" t="n"/>
      <c r="E900" s="255" t="n"/>
      <c r="F900" s="310" t="n"/>
    </row>
    <row r="901">
      <c r="A901" s="307" t="n"/>
      <c r="B901" s="307" t="n"/>
      <c r="C901" s="308" t="n"/>
      <c r="D901" s="308" t="n"/>
      <c r="E901" s="309" t="n"/>
      <c r="F901" s="308" t="n"/>
    </row>
    <row r="902">
      <c r="C902" s="310" t="n"/>
      <c r="D902" s="310" t="n"/>
      <c r="E902" s="255" t="n"/>
      <c r="F902" s="310" t="n"/>
    </row>
    <row r="903">
      <c r="C903" s="310" t="n"/>
      <c r="D903" s="310" t="n"/>
      <c r="E903" s="255" t="n"/>
      <c r="F903" s="310" t="n"/>
    </row>
    <row r="904">
      <c r="C904" s="310" t="n"/>
      <c r="D904" s="310" t="n"/>
      <c r="E904" s="255" t="n"/>
      <c r="F904" s="310" t="n"/>
    </row>
    <row r="905">
      <c r="A905" s="307" t="n"/>
      <c r="B905" s="307" t="n"/>
      <c r="C905" s="308" t="n"/>
      <c r="D905" s="308" t="n"/>
      <c r="E905" s="309" t="n"/>
      <c r="F905" s="308" t="n"/>
    </row>
    <row r="906">
      <c r="C906" s="310" t="n"/>
      <c r="D906" s="310" t="n"/>
      <c r="E906" s="255" t="n"/>
      <c r="F906" s="310" t="n"/>
    </row>
    <row r="907">
      <c r="C907" s="310" t="n"/>
      <c r="D907" s="310" t="n"/>
      <c r="E907" s="255" t="n"/>
      <c r="F907" s="310" t="n"/>
    </row>
    <row r="908">
      <c r="C908" s="310" t="n"/>
      <c r="D908" s="310" t="n"/>
      <c r="E908" s="255" t="n"/>
      <c r="F908" s="310" t="n"/>
    </row>
    <row r="909">
      <c r="C909" s="310" t="n"/>
      <c r="D909" s="310" t="n"/>
      <c r="E909" s="255" t="n"/>
      <c r="F909" s="310" t="n"/>
    </row>
    <row r="910">
      <c r="A910" s="307" t="n"/>
      <c r="B910" s="307" t="n"/>
      <c r="C910" s="308" t="n"/>
      <c r="D910" s="308" t="n"/>
      <c r="E910" s="309" t="n"/>
      <c r="F910" s="308" t="n"/>
    </row>
    <row r="911">
      <c r="C911" s="310" t="n"/>
      <c r="D911" s="310" t="n"/>
      <c r="E911" s="255" t="n"/>
      <c r="F911" s="310" t="n"/>
    </row>
    <row r="912">
      <c r="C912" s="310" t="n"/>
      <c r="D912" s="310" t="n"/>
      <c r="E912" s="255" t="n"/>
      <c r="F912" s="310" t="n"/>
    </row>
    <row r="913">
      <c r="A913" s="307" t="n"/>
      <c r="B913" s="307" t="n"/>
      <c r="C913" s="308" t="n"/>
      <c r="D913" s="308" t="n"/>
      <c r="E913" s="309" t="n"/>
      <c r="F913" s="308" t="n"/>
    </row>
    <row r="914">
      <c r="A914" s="307" t="n"/>
      <c r="B914" s="307" t="n"/>
      <c r="C914" s="308" t="n"/>
      <c r="D914" s="308" t="n"/>
      <c r="E914" s="309" t="n"/>
      <c r="F914" s="308" t="n"/>
    </row>
    <row r="915">
      <c r="C915" s="310" t="n"/>
      <c r="D915" s="310" t="n"/>
      <c r="E915" s="255" t="n"/>
      <c r="F915" s="310" t="n"/>
    </row>
    <row r="916">
      <c r="C916" s="310" t="n"/>
      <c r="D916" s="310" t="n"/>
      <c r="E916" s="255" t="n"/>
      <c r="F916" s="310" t="n"/>
    </row>
    <row r="917">
      <c r="C917" s="310" t="n"/>
      <c r="D917" s="310" t="n"/>
      <c r="E917" s="255" t="n"/>
      <c r="F917" s="310" t="n"/>
    </row>
    <row r="918">
      <c r="A918" s="307" t="n"/>
      <c r="B918" s="307" t="n"/>
      <c r="C918" s="308" t="n"/>
      <c r="D918" s="308" t="n"/>
      <c r="E918" s="309" t="n"/>
      <c r="F918" s="308" t="n"/>
    </row>
    <row r="919">
      <c r="A919" s="307" t="n"/>
      <c r="B919" s="307" t="n"/>
      <c r="C919" s="308" t="n"/>
      <c r="D919" s="308" t="n"/>
      <c r="E919" s="309" t="n"/>
      <c r="F919" s="308" t="n"/>
    </row>
    <row r="920">
      <c r="C920" s="310" t="n"/>
      <c r="D920" s="310" t="n"/>
      <c r="E920" s="255" t="n"/>
      <c r="F920" s="310" t="n"/>
    </row>
    <row r="921">
      <c r="C921" s="310" t="n"/>
      <c r="D921" s="310" t="n"/>
      <c r="E921" s="255" t="n"/>
      <c r="F921" s="310" t="n"/>
    </row>
    <row r="922">
      <c r="A922" s="307" t="n"/>
      <c r="B922" s="307" t="n"/>
      <c r="C922" s="308" t="n"/>
      <c r="D922" s="308" t="n"/>
      <c r="E922" s="309" t="n"/>
      <c r="F922" s="308" t="n"/>
    </row>
    <row r="923">
      <c r="A923" s="307" t="n"/>
      <c r="B923" s="307" t="n"/>
      <c r="C923" s="308" t="n"/>
      <c r="D923" s="308" t="n"/>
      <c r="E923" s="309" t="n"/>
      <c r="F923" s="308" t="n"/>
    </row>
    <row r="924">
      <c r="C924" s="310" t="n"/>
      <c r="D924" s="310" t="n"/>
      <c r="E924" s="255" t="n"/>
      <c r="F924" s="310" t="n"/>
    </row>
    <row r="925">
      <c r="C925" s="310" t="n"/>
      <c r="D925" s="310" t="n"/>
      <c r="E925" s="255" t="n"/>
      <c r="F925" s="310" t="n"/>
    </row>
    <row r="926">
      <c r="C926" s="310" t="n"/>
      <c r="D926" s="310" t="n"/>
      <c r="E926" s="255" t="n"/>
      <c r="F926" s="310" t="n"/>
    </row>
    <row r="927">
      <c r="C927" s="310" t="n"/>
      <c r="D927" s="310" t="n"/>
      <c r="E927" s="255" t="n"/>
      <c r="F927" s="310" t="n"/>
    </row>
    <row r="928">
      <c r="A928" s="307" t="n"/>
      <c r="B928" s="307" t="n"/>
      <c r="C928" s="308" t="n"/>
      <c r="D928" s="308" t="n"/>
      <c r="E928" s="309" t="n"/>
      <c r="F928" s="308" t="n"/>
    </row>
    <row r="929">
      <c r="A929" s="307" t="n"/>
      <c r="B929" s="307" t="n"/>
      <c r="C929" s="308" t="n"/>
      <c r="D929" s="308" t="n"/>
      <c r="E929" s="309" t="n"/>
      <c r="F929" s="308" t="n"/>
    </row>
    <row r="930">
      <c r="A930" s="307" t="n"/>
      <c r="B930" s="307" t="n"/>
      <c r="C930" s="308" t="n"/>
      <c r="D930" s="308" t="n"/>
      <c r="E930" s="309" t="n"/>
      <c r="F930" s="308" t="n"/>
    </row>
    <row r="931">
      <c r="A931" s="307" t="n"/>
      <c r="B931" s="307" t="n"/>
      <c r="C931" s="308" t="n"/>
      <c r="D931" s="308" t="n"/>
      <c r="E931" s="309" t="n"/>
      <c r="F931" s="308" t="n"/>
    </row>
    <row r="932">
      <c r="C932" s="310" t="n"/>
      <c r="D932" s="310" t="n"/>
      <c r="E932" s="255" t="n"/>
      <c r="F932" s="310" t="n"/>
    </row>
    <row r="933">
      <c r="C933" s="310" t="n"/>
      <c r="D933" s="310" t="n"/>
      <c r="E933" s="255" t="n"/>
      <c r="F933" s="310" t="n"/>
    </row>
    <row r="934">
      <c r="C934" s="310" t="n"/>
      <c r="D934" s="310" t="n"/>
      <c r="E934" s="255" t="n"/>
      <c r="F934" s="310" t="n"/>
    </row>
    <row r="935">
      <c r="C935" s="310" t="n"/>
      <c r="D935" s="310" t="n"/>
      <c r="E935" s="255" t="n"/>
      <c r="F935" s="310" t="n"/>
    </row>
    <row r="936">
      <c r="A936" s="307" t="n"/>
      <c r="B936" s="307" t="n"/>
      <c r="C936" s="308" t="n"/>
      <c r="D936" s="308" t="n"/>
      <c r="E936" s="309" t="n"/>
      <c r="F936" s="308" t="n"/>
    </row>
    <row r="937">
      <c r="A937" s="307" t="n"/>
      <c r="B937" s="307" t="n"/>
      <c r="C937" s="308" t="n"/>
      <c r="D937" s="308" t="n"/>
      <c r="E937" s="309" t="n"/>
      <c r="F937" s="308" t="n"/>
    </row>
    <row r="938">
      <c r="A938" s="307" t="n"/>
      <c r="B938" s="307" t="n"/>
      <c r="C938" s="308" t="n"/>
      <c r="D938" s="308" t="n"/>
      <c r="E938" s="309" t="n"/>
      <c r="F938" s="308" t="n"/>
    </row>
    <row r="939">
      <c r="A939" s="307" t="n"/>
      <c r="B939" s="307" t="n"/>
      <c r="C939" s="308" t="n"/>
      <c r="D939" s="308" t="n"/>
      <c r="E939" s="309" t="n"/>
      <c r="F939" s="308" t="n"/>
    </row>
    <row r="940">
      <c r="C940" s="310" t="n"/>
      <c r="D940" s="310" t="n"/>
      <c r="E940" s="255" t="n"/>
      <c r="F940" s="310" t="n"/>
    </row>
    <row r="941">
      <c r="C941" s="310" t="n"/>
      <c r="D941" s="310" t="n"/>
      <c r="E941" s="255" t="n"/>
      <c r="F941" s="310" t="n"/>
    </row>
    <row r="942">
      <c r="A942" s="307" t="n"/>
      <c r="B942" s="307" t="n"/>
      <c r="C942" s="308" t="n"/>
      <c r="D942" s="308" t="n"/>
      <c r="E942" s="309" t="n"/>
      <c r="F942" s="308" t="n"/>
    </row>
    <row r="943">
      <c r="A943" s="307" t="n"/>
      <c r="B943" s="307" t="n"/>
      <c r="C943" s="308" t="n"/>
      <c r="D943" s="308" t="n"/>
      <c r="E943" s="309" t="n"/>
      <c r="F943" s="308" t="n"/>
    </row>
    <row r="944">
      <c r="A944" s="307" t="n"/>
      <c r="B944" s="307" t="n"/>
      <c r="C944" s="308" t="n"/>
      <c r="D944" s="308" t="n"/>
      <c r="E944" s="309" t="n"/>
      <c r="F944" s="308" t="n"/>
    </row>
    <row r="945">
      <c r="A945" s="307" t="n"/>
      <c r="B945" s="307" t="n"/>
      <c r="C945" s="308" t="n"/>
      <c r="D945" s="308" t="n"/>
      <c r="E945" s="309" t="n"/>
      <c r="F945" s="308" t="n"/>
    </row>
    <row r="946">
      <c r="C946" s="310" t="n"/>
      <c r="D946" s="310" t="n"/>
      <c r="E946" s="255" t="n"/>
      <c r="F946" s="310" t="n"/>
    </row>
    <row r="947">
      <c r="C947" s="311" t="n"/>
      <c r="D947" s="311" t="n"/>
      <c r="E947" s="311" t="n"/>
      <c r="F947" s="311" t="n"/>
    </row>
  </sheetData>
  <pageMargins left="0.7" right="0.7" top="0.75" bottom="0.75" header="0.3" footer="0.3"/>
</worksheet>
</file>

<file path=xl/worksheets/sheet12.xml><?xml version="1.0" encoding="utf-8"?>
<worksheet xmlns="http://schemas.openxmlformats.org/spreadsheetml/2006/main">
  <sheetPr>
    <tabColor theme="0"/>
    <outlinePr summaryBelow="1" summaryRight="1"/>
    <pageSetUpPr/>
  </sheetPr>
  <dimension ref="A1:R416"/>
  <sheetViews>
    <sheetView topLeftCell="A4" zoomScaleNormal="100" workbookViewId="0">
      <selection activeCell="D34" sqref="D34"/>
    </sheetView>
  </sheetViews>
  <sheetFormatPr baseColWidth="8" defaultColWidth="9.140625" defaultRowHeight="12.75"/>
  <cols>
    <col width="12" bestFit="1" customWidth="1" style="301" min="1" max="1"/>
    <col width="52" bestFit="1" customWidth="1" style="301" min="2" max="2"/>
    <col width="10" bestFit="1" customWidth="1" style="301" min="3" max="3"/>
    <col width="13" bestFit="1" customWidth="1" style="301" min="4" max="5"/>
    <col width="14" bestFit="1" customWidth="1" style="301" min="6" max="6"/>
    <col width="13" bestFit="1" customWidth="1" style="301" min="7" max="7"/>
    <col width="14" bestFit="1" customWidth="1" style="301" min="8" max="8"/>
    <col width="13" bestFit="1" customWidth="1" style="301" min="9" max="9"/>
    <col width="14" bestFit="1" customWidth="1" style="301" min="10" max="10"/>
    <col width="13" bestFit="1" customWidth="1" style="301" min="11" max="15"/>
    <col width="28" bestFit="1" customWidth="1" style="301" min="16" max="16"/>
    <col width="18" bestFit="1" customWidth="1" style="301" min="17" max="18"/>
    <col width="9.140625" customWidth="1" style="301" min="19" max="16384"/>
  </cols>
  <sheetData>
    <row r="1">
      <c r="A1" s="299" t="n"/>
      <c r="B1" s="299" t="n"/>
      <c r="C1" s="299" t="n"/>
      <c r="D1" s="299" t="n"/>
      <c r="E1" s="299" t="n"/>
      <c r="F1" s="300" t="n"/>
      <c r="G1" s="299" t="n"/>
      <c r="H1" s="300" t="n"/>
      <c r="I1" s="299" t="n"/>
      <c r="J1" s="300" t="n"/>
      <c r="K1" s="299" t="n"/>
      <c r="L1" s="300" t="n"/>
      <c r="M1" s="299" t="n"/>
      <c r="N1" s="300" t="n"/>
      <c r="O1" s="299" t="n"/>
      <c r="P1" s="299" t="n"/>
      <c r="Q1" s="299" t="n"/>
      <c r="R1" s="299" t="n"/>
    </row>
    <row r="2">
      <c r="F2" s="298" t="n"/>
      <c r="H2" s="298" t="n"/>
      <c r="J2" s="298" t="n"/>
      <c r="L2" s="298" t="n"/>
      <c r="N2" s="298" t="n"/>
    </row>
    <row r="3">
      <c r="F3" s="298" t="n"/>
      <c r="H3" s="298" t="n"/>
      <c r="J3" s="298" t="n"/>
      <c r="L3" s="298" t="n"/>
      <c r="N3" s="298" t="n"/>
    </row>
    <row r="4">
      <c r="F4" s="298" t="n"/>
      <c r="H4" s="298" t="n"/>
      <c r="J4" s="298" t="n"/>
      <c r="L4" s="298" t="n"/>
      <c r="N4" s="298" t="n"/>
    </row>
    <row r="5">
      <c r="F5" s="298" t="n"/>
      <c r="H5" s="298" t="n"/>
      <c r="J5" s="298" t="n"/>
      <c r="L5" s="298" t="n"/>
      <c r="N5" s="298" t="n"/>
    </row>
    <row r="6">
      <c r="F6" s="298" t="n"/>
      <c r="H6" s="298" t="n"/>
      <c r="J6" s="298" t="n"/>
      <c r="L6" s="298" t="n"/>
      <c r="N6" s="298" t="n"/>
    </row>
    <row r="7">
      <c r="F7" s="298" t="n"/>
      <c r="H7" s="298" t="n"/>
      <c r="J7" s="298" t="n"/>
      <c r="L7" s="298" t="n"/>
      <c r="N7" s="298" t="n"/>
    </row>
    <row r="8">
      <c r="F8" s="298" t="n"/>
      <c r="H8" s="298" t="n"/>
      <c r="J8" s="298" t="n"/>
      <c r="L8" s="298" t="n"/>
      <c r="N8" s="298" t="n"/>
    </row>
    <row r="9">
      <c r="F9" s="298" t="n"/>
      <c r="H9" s="298" t="n"/>
      <c r="J9" s="298" t="n"/>
      <c r="L9" s="298" t="n"/>
      <c r="N9" s="298" t="n"/>
    </row>
    <row r="10">
      <c r="F10" s="298" t="n"/>
      <c r="H10" s="298" t="n"/>
      <c r="J10" s="298" t="n"/>
      <c r="L10" s="298" t="n"/>
      <c r="N10" s="298" t="n"/>
    </row>
    <row r="11">
      <c r="F11" s="298" t="n"/>
      <c r="H11" s="298" t="n"/>
      <c r="J11" s="298" t="n"/>
      <c r="L11" s="298" t="n"/>
      <c r="N11" s="298" t="n"/>
    </row>
    <row r="12">
      <c r="F12" s="298" t="n"/>
      <c r="H12" s="298" t="n"/>
      <c r="J12" s="298" t="n"/>
      <c r="L12" s="298" t="n"/>
      <c r="N12" s="298" t="n"/>
    </row>
    <row r="13">
      <c r="F13" s="298" t="n"/>
      <c r="H13" s="298" t="n"/>
      <c r="J13" s="298" t="n"/>
      <c r="L13" s="298" t="n"/>
      <c r="N13" s="298" t="n"/>
    </row>
    <row r="14">
      <c r="F14" s="298" t="n"/>
      <c r="H14" s="298" t="n"/>
      <c r="J14" s="298" t="n"/>
      <c r="L14" s="298" t="n"/>
      <c r="N14" s="298" t="n"/>
    </row>
    <row r="15">
      <c r="F15" s="298" t="n"/>
      <c r="H15" s="298" t="n"/>
      <c r="J15" s="298" t="n"/>
      <c r="L15" s="298" t="n"/>
      <c r="N15" s="298" t="n"/>
    </row>
    <row r="16">
      <c r="F16" s="298" t="n"/>
      <c r="H16" s="298" t="n"/>
      <c r="J16" s="298" t="n"/>
      <c r="L16" s="298" t="n"/>
      <c r="N16" s="298" t="n"/>
    </row>
    <row r="17">
      <c r="F17" s="298" t="n"/>
      <c r="H17" s="298" t="n"/>
      <c r="J17" s="298" t="n"/>
      <c r="L17" s="298" t="n"/>
      <c r="N17" s="298" t="n"/>
    </row>
    <row r="18">
      <c r="F18" s="298" t="n"/>
      <c r="H18" s="298" t="n"/>
      <c r="J18" s="298" t="n"/>
      <c r="L18" s="298" t="n"/>
      <c r="N18" s="298" t="n"/>
    </row>
    <row r="19">
      <c r="F19" s="298" t="n"/>
      <c r="H19" s="298" t="n"/>
      <c r="J19" s="298" t="n"/>
      <c r="L19" s="298" t="n"/>
      <c r="N19" s="298" t="n"/>
    </row>
    <row r="20">
      <c r="F20" s="298" t="n"/>
      <c r="H20" s="298" t="n"/>
      <c r="J20" s="298" t="n"/>
      <c r="L20" s="298" t="n"/>
      <c r="N20" s="298" t="n"/>
    </row>
    <row r="21">
      <c r="F21" s="298" t="n"/>
      <c r="H21" s="298" t="n"/>
      <c r="J21" s="298" t="n"/>
      <c r="L21" s="298" t="n"/>
      <c r="N21" s="298" t="n"/>
    </row>
    <row r="22">
      <c r="F22" s="298" t="n"/>
      <c r="H22" s="298" t="n"/>
      <c r="J22" s="298" t="n"/>
      <c r="L22" s="298" t="n"/>
      <c r="N22" s="298" t="n"/>
    </row>
    <row r="23">
      <c r="F23" s="298" t="n"/>
      <c r="H23" s="298" t="n"/>
      <c r="J23" s="298" t="n"/>
      <c r="L23" s="298" t="n"/>
      <c r="N23" s="298" t="n"/>
    </row>
    <row r="24">
      <c r="F24" s="298" t="n"/>
      <c r="H24" s="298" t="n"/>
      <c r="J24" s="298" t="n"/>
      <c r="L24" s="298" t="n"/>
      <c r="N24" s="298" t="n"/>
    </row>
    <row r="25">
      <c r="F25" s="298" t="n"/>
      <c r="H25" s="298" t="n"/>
      <c r="J25" s="298" t="n"/>
      <c r="L25" s="298" t="n"/>
      <c r="N25" s="298" t="n"/>
    </row>
    <row r="26">
      <c r="F26" s="298" t="n"/>
      <c r="H26" s="298" t="n"/>
      <c r="J26" s="298" t="n"/>
      <c r="L26" s="298" t="n"/>
      <c r="N26" s="298" t="n"/>
    </row>
    <row r="27">
      <c r="F27" s="298" t="n"/>
      <c r="H27" s="298" t="n"/>
      <c r="J27" s="298" t="n"/>
      <c r="L27" s="298" t="n"/>
      <c r="N27" s="298" t="n"/>
    </row>
    <row r="28">
      <c r="F28" s="298" t="n"/>
      <c r="H28" s="298" t="n"/>
      <c r="J28" s="298" t="n"/>
      <c r="L28" s="298" t="n"/>
      <c r="N28" s="298" t="n"/>
    </row>
    <row r="29">
      <c r="F29" s="298" t="n"/>
      <c r="H29" s="298" t="n"/>
      <c r="J29" s="298" t="n"/>
      <c r="L29" s="298" t="n"/>
      <c r="N29" s="298" t="n"/>
    </row>
    <row r="30">
      <c r="F30" s="298" t="n"/>
      <c r="H30" s="298" t="n"/>
      <c r="J30" s="298" t="n"/>
      <c r="L30" s="298" t="n"/>
      <c r="N30" s="298" t="n"/>
    </row>
    <row r="31">
      <c r="F31" s="298" t="n"/>
      <c r="H31" s="298" t="n"/>
      <c r="J31" s="298" t="n"/>
      <c r="L31" s="298" t="n"/>
      <c r="N31" s="298" t="n"/>
    </row>
    <row r="32">
      <c r="F32" s="298" t="n"/>
      <c r="H32" s="298" t="n"/>
      <c r="J32" s="298" t="n"/>
      <c r="L32" s="298" t="n"/>
      <c r="N32" s="298" t="n"/>
    </row>
    <row r="33">
      <c r="F33" s="298" t="n"/>
      <c r="H33" s="298" t="n"/>
      <c r="J33" s="298" t="n"/>
      <c r="L33" s="298" t="n"/>
      <c r="N33" s="298" t="n"/>
    </row>
    <row r="34">
      <c r="F34" s="298" t="n"/>
      <c r="H34" s="298" t="n"/>
      <c r="J34" s="298" t="n"/>
      <c r="L34" s="298" t="n"/>
      <c r="N34" s="298" t="n"/>
    </row>
    <row r="35">
      <c r="F35" s="298" t="n"/>
      <c r="H35" s="298" t="n"/>
      <c r="J35" s="298" t="n"/>
      <c r="L35" s="298" t="n"/>
      <c r="N35" s="298" t="n"/>
    </row>
    <row r="36">
      <c r="F36" s="298" t="n"/>
      <c r="H36" s="298" t="n"/>
      <c r="J36" s="298" t="n"/>
      <c r="L36" s="298" t="n"/>
      <c r="N36" s="298" t="n"/>
    </row>
    <row r="37">
      <c r="F37" s="298" t="n"/>
      <c r="H37" s="298" t="n"/>
      <c r="J37" s="298" t="n"/>
      <c r="L37" s="298" t="n"/>
      <c r="N37" s="298" t="n"/>
    </row>
    <row r="38">
      <c r="F38" s="298" t="n"/>
      <c r="H38" s="298" t="n"/>
      <c r="J38" s="298" t="n"/>
      <c r="L38" s="298" t="n"/>
      <c r="N38" s="298" t="n"/>
    </row>
    <row r="39">
      <c r="F39" s="298" t="n"/>
      <c r="H39" s="298" t="n"/>
      <c r="J39" s="298" t="n"/>
      <c r="L39" s="298" t="n"/>
      <c r="N39" s="298" t="n"/>
    </row>
    <row r="40">
      <c r="F40" s="298" t="n"/>
      <c r="H40" s="298" t="n"/>
      <c r="J40" s="298" t="n"/>
      <c r="L40" s="298" t="n"/>
      <c r="N40" s="298" t="n"/>
    </row>
    <row r="41">
      <c r="F41" s="298" t="n"/>
      <c r="H41" s="298" t="n"/>
      <c r="J41" s="298" t="n"/>
      <c r="L41" s="298" t="n"/>
      <c r="N41" s="298" t="n"/>
    </row>
    <row r="42">
      <c r="F42" s="298" t="n"/>
      <c r="H42" s="298" t="n"/>
      <c r="J42" s="298" t="n"/>
      <c r="L42" s="298" t="n"/>
      <c r="N42" s="298" t="n"/>
    </row>
    <row r="43">
      <c r="F43" s="298" t="n"/>
      <c r="H43" s="298" t="n"/>
      <c r="J43" s="298" t="n"/>
      <c r="L43" s="298" t="n"/>
      <c r="N43" s="298" t="n"/>
    </row>
    <row r="44">
      <c r="F44" s="298" t="n"/>
      <c r="H44" s="298" t="n"/>
      <c r="J44" s="298" t="n"/>
      <c r="L44" s="298" t="n"/>
      <c r="N44" s="298" t="n"/>
    </row>
    <row r="45">
      <c r="F45" s="298" t="n"/>
      <c r="H45" s="298" t="n"/>
      <c r="J45" s="298" t="n"/>
      <c r="L45" s="298" t="n"/>
      <c r="N45" s="298" t="n"/>
    </row>
    <row r="46">
      <c r="F46" s="298" t="n"/>
      <c r="H46" s="298" t="n"/>
      <c r="J46" s="298" t="n"/>
      <c r="L46" s="298" t="n"/>
      <c r="N46" s="298" t="n"/>
    </row>
    <row r="47">
      <c r="F47" s="298" t="n"/>
      <c r="H47" s="298" t="n"/>
      <c r="J47" s="298" t="n"/>
      <c r="L47" s="298" t="n"/>
      <c r="N47" s="298" t="n"/>
    </row>
    <row r="48">
      <c r="F48" s="298" t="n"/>
      <c r="H48" s="298" t="n"/>
      <c r="J48" s="298" t="n"/>
      <c r="L48" s="298" t="n"/>
      <c r="N48" s="298" t="n"/>
    </row>
    <row r="49">
      <c r="F49" s="298" t="n"/>
      <c r="H49" s="298" t="n"/>
      <c r="J49" s="298" t="n"/>
      <c r="L49" s="298" t="n"/>
      <c r="N49" s="298" t="n"/>
    </row>
    <row r="50">
      <c r="F50" s="298" t="n"/>
      <c r="H50" s="298" t="n"/>
      <c r="J50" s="298" t="n"/>
      <c r="L50" s="298" t="n"/>
      <c r="N50" s="298" t="n"/>
    </row>
    <row r="51">
      <c r="F51" s="298" t="n"/>
      <c r="H51" s="298" t="n"/>
      <c r="J51" s="298" t="n"/>
      <c r="L51" s="298" t="n"/>
      <c r="N51" s="298" t="n"/>
    </row>
    <row r="52">
      <c r="F52" s="298" t="n"/>
      <c r="H52" s="298" t="n"/>
      <c r="J52" s="298" t="n"/>
      <c r="L52" s="298" t="n"/>
      <c r="N52" s="298" t="n"/>
    </row>
    <row r="53">
      <c r="F53" s="298" t="n"/>
      <c r="H53" s="298" t="n"/>
      <c r="J53" s="298" t="n"/>
      <c r="L53" s="298" t="n"/>
      <c r="N53" s="298" t="n"/>
    </row>
    <row r="54">
      <c r="F54" s="298" t="n"/>
      <c r="H54" s="298" t="n"/>
      <c r="J54" s="298" t="n"/>
      <c r="L54" s="298" t="n"/>
      <c r="N54" s="298" t="n"/>
    </row>
    <row r="55">
      <c r="F55" s="298" t="n"/>
      <c r="H55" s="298" t="n"/>
      <c r="J55" s="298" t="n"/>
      <c r="L55" s="298" t="n"/>
      <c r="N55" s="298" t="n"/>
    </row>
    <row r="56">
      <c r="F56" s="298" t="n"/>
      <c r="H56" s="298" t="n"/>
      <c r="J56" s="298" t="n"/>
      <c r="L56" s="298" t="n"/>
      <c r="N56" s="298" t="n"/>
    </row>
    <row r="57">
      <c r="F57" s="298" t="n"/>
      <c r="H57" s="298" t="n"/>
      <c r="J57" s="298" t="n"/>
      <c r="L57" s="298" t="n"/>
      <c r="N57" s="298" t="n"/>
    </row>
    <row r="58">
      <c r="F58" s="298" t="n"/>
      <c r="H58" s="298" t="n"/>
      <c r="J58" s="298" t="n"/>
      <c r="L58" s="298" t="n"/>
      <c r="N58" s="298" t="n"/>
    </row>
    <row r="59">
      <c r="F59" s="298" t="n"/>
      <c r="H59" s="298" t="n"/>
      <c r="J59" s="298" t="n"/>
      <c r="L59" s="298" t="n"/>
      <c r="N59" s="298" t="n"/>
    </row>
    <row r="60">
      <c r="F60" s="298" t="n"/>
      <c r="H60" s="298" t="n"/>
      <c r="J60" s="298" t="n"/>
      <c r="L60" s="298" t="n"/>
      <c r="N60" s="298" t="n"/>
    </row>
    <row r="61">
      <c r="F61" s="298" t="n"/>
      <c r="H61" s="298" t="n"/>
      <c r="J61" s="298" t="n"/>
      <c r="L61" s="298" t="n"/>
      <c r="N61" s="298" t="n"/>
    </row>
    <row r="62">
      <c r="F62" s="298" t="n"/>
      <c r="H62" s="298" t="n"/>
      <c r="J62" s="298" t="n"/>
      <c r="L62" s="298" t="n"/>
      <c r="N62" s="298" t="n"/>
    </row>
    <row r="63">
      <c r="F63" s="298" t="n"/>
      <c r="H63" s="298" t="n"/>
      <c r="J63" s="298" t="n"/>
      <c r="L63" s="298" t="n"/>
      <c r="N63" s="298" t="n"/>
    </row>
    <row r="64">
      <c r="F64" s="298" t="n"/>
      <c r="H64" s="298" t="n"/>
      <c r="J64" s="298" t="n"/>
      <c r="L64" s="298" t="n"/>
      <c r="N64" s="298" t="n"/>
    </row>
    <row r="65">
      <c r="F65" s="298" t="n"/>
      <c r="H65" s="298" t="n"/>
      <c r="J65" s="298" t="n"/>
      <c r="L65" s="298" t="n"/>
      <c r="N65" s="298" t="n"/>
    </row>
    <row r="66">
      <c r="F66" s="298" t="n"/>
      <c r="H66" s="298" t="n"/>
      <c r="J66" s="298" t="n"/>
      <c r="L66" s="298" t="n"/>
      <c r="N66" s="298" t="n"/>
    </row>
    <row r="67">
      <c r="F67" s="298" t="n"/>
      <c r="H67" s="298" t="n"/>
      <c r="J67" s="298" t="n"/>
      <c r="L67" s="298" t="n"/>
      <c r="N67" s="298" t="n"/>
    </row>
    <row r="68">
      <c r="F68" s="298" t="n"/>
      <c r="H68" s="298" t="n"/>
      <c r="J68" s="298" t="n"/>
      <c r="L68" s="298" t="n"/>
      <c r="N68" s="298" t="n"/>
    </row>
    <row r="69">
      <c r="F69" s="298" t="n"/>
      <c r="H69" s="298" t="n"/>
      <c r="J69" s="298" t="n"/>
      <c r="L69" s="298" t="n"/>
      <c r="N69" s="298" t="n"/>
    </row>
    <row r="70">
      <c r="F70" s="298" t="n"/>
      <c r="H70" s="298" t="n"/>
      <c r="J70" s="298" t="n"/>
      <c r="L70" s="298" t="n"/>
      <c r="N70" s="298" t="n"/>
    </row>
    <row r="71">
      <c r="F71" s="298" t="n"/>
      <c r="H71" s="298" t="n"/>
      <c r="J71" s="298" t="n"/>
      <c r="L71" s="298" t="n"/>
      <c r="N71" s="298" t="n"/>
    </row>
    <row r="72">
      <c r="F72" s="298" t="n"/>
      <c r="H72" s="298" t="n"/>
      <c r="J72" s="298" t="n"/>
      <c r="L72" s="298" t="n"/>
      <c r="N72" s="298" t="n"/>
    </row>
    <row r="73">
      <c r="F73" s="298" t="n"/>
      <c r="H73" s="298" t="n"/>
      <c r="J73" s="298" t="n"/>
      <c r="L73" s="298" t="n"/>
      <c r="N73" s="298" t="n"/>
    </row>
    <row r="74">
      <c r="F74" s="298" t="n"/>
      <c r="H74" s="298" t="n"/>
      <c r="J74" s="298" t="n"/>
      <c r="L74" s="298" t="n"/>
      <c r="N74" s="298" t="n"/>
    </row>
    <row r="75">
      <c r="F75" s="298" t="n"/>
      <c r="H75" s="298" t="n"/>
      <c r="J75" s="298" t="n"/>
      <c r="L75" s="298" t="n"/>
      <c r="N75" s="298" t="n"/>
    </row>
    <row r="76">
      <c r="F76" s="298" t="n"/>
      <c r="H76" s="298" t="n"/>
      <c r="J76" s="298" t="n"/>
      <c r="L76" s="298" t="n"/>
      <c r="N76" s="298" t="n"/>
    </row>
    <row r="77">
      <c r="F77" s="298" t="n"/>
      <c r="H77" s="298" t="n"/>
      <c r="J77" s="298" t="n"/>
      <c r="L77" s="298" t="n"/>
      <c r="N77" s="298" t="n"/>
    </row>
    <row r="78">
      <c r="F78" s="298" t="n"/>
      <c r="H78" s="298" t="n"/>
      <c r="J78" s="298" t="n"/>
      <c r="L78" s="298" t="n"/>
      <c r="N78" s="298" t="n"/>
    </row>
    <row r="79">
      <c r="F79" s="298" t="n"/>
      <c r="H79" s="298" t="n"/>
      <c r="J79" s="298" t="n"/>
      <c r="L79" s="298" t="n"/>
      <c r="N79" s="298" t="n"/>
    </row>
    <row r="80">
      <c r="F80" s="298" t="n"/>
      <c r="H80" s="298" t="n"/>
      <c r="J80" s="298" t="n"/>
      <c r="L80" s="298" t="n"/>
      <c r="N80" s="298" t="n"/>
    </row>
    <row r="81">
      <c r="F81" s="298" t="n"/>
      <c r="H81" s="298" t="n"/>
      <c r="J81" s="298" t="n"/>
      <c r="L81" s="298" t="n"/>
      <c r="N81" s="298" t="n"/>
    </row>
    <row r="82">
      <c r="F82" s="298" t="n"/>
      <c r="H82" s="298" t="n"/>
      <c r="J82" s="298" t="n"/>
      <c r="L82" s="298" t="n"/>
      <c r="N82" s="298" t="n"/>
    </row>
    <row r="83">
      <c r="F83" s="298" t="n"/>
      <c r="H83" s="298" t="n"/>
      <c r="J83" s="298" t="n"/>
      <c r="L83" s="298" t="n"/>
      <c r="N83" s="298" t="n"/>
    </row>
    <row r="84">
      <c r="F84" s="298" t="n"/>
      <c r="H84" s="298" t="n"/>
      <c r="J84" s="298" t="n"/>
      <c r="L84" s="298" t="n"/>
      <c r="N84" s="298" t="n"/>
    </row>
    <row r="85">
      <c r="F85" s="298" t="n"/>
      <c r="H85" s="298" t="n"/>
      <c r="J85" s="298" t="n"/>
      <c r="L85" s="298" t="n"/>
      <c r="N85" s="298" t="n"/>
    </row>
    <row r="86">
      <c r="F86" s="298" t="n"/>
      <c r="H86" s="298" t="n"/>
      <c r="J86" s="298" t="n"/>
      <c r="L86" s="298" t="n"/>
      <c r="N86" s="298" t="n"/>
    </row>
    <row r="87">
      <c r="F87" s="298" t="n"/>
      <c r="H87" s="298" t="n"/>
      <c r="J87" s="298" t="n"/>
      <c r="L87" s="298" t="n"/>
      <c r="N87" s="298" t="n"/>
    </row>
    <row r="88">
      <c r="F88" s="298" t="n"/>
      <c r="H88" s="298" t="n"/>
      <c r="J88" s="298" t="n"/>
      <c r="L88" s="298" t="n"/>
      <c r="N88" s="298" t="n"/>
    </row>
    <row r="89">
      <c r="F89" s="298" t="n"/>
      <c r="H89" s="298" t="n"/>
      <c r="J89" s="298" t="n"/>
      <c r="L89" s="298" t="n"/>
      <c r="N89" s="298" t="n"/>
    </row>
    <row r="90">
      <c r="F90" s="298" t="n"/>
      <c r="H90" s="298" t="n"/>
      <c r="J90" s="298" t="n"/>
      <c r="L90" s="298" t="n"/>
      <c r="N90" s="298" t="n"/>
    </row>
    <row r="91">
      <c r="F91" s="298" t="n"/>
      <c r="H91" s="298" t="n"/>
      <c r="J91" s="298" t="n"/>
      <c r="L91" s="298" t="n"/>
      <c r="N91" s="298" t="n"/>
    </row>
    <row r="92">
      <c r="F92" s="298" t="n"/>
      <c r="H92" s="298" t="n"/>
      <c r="J92" s="298" t="n"/>
      <c r="L92" s="298" t="n"/>
      <c r="N92" s="298" t="n"/>
    </row>
    <row r="93">
      <c r="F93" s="298" t="n"/>
      <c r="H93" s="298" t="n"/>
      <c r="J93" s="298" t="n"/>
      <c r="L93" s="298" t="n"/>
      <c r="N93" s="298" t="n"/>
    </row>
    <row r="94">
      <c r="F94" s="298" t="n"/>
      <c r="H94" s="298" t="n"/>
      <c r="J94" s="298" t="n"/>
      <c r="L94" s="298" t="n"/>
      <c r="N94" s="298" t="n"/>
    </row>
    <row r="95">
      <c r="F95" s="298" t="n"/>
      <c r="H95" s="298" t="n"/>
      <c r="J95" s="298" t="n"/>
      <c r="L95" s="298" t="n"/>
      <c r="N95" s="298" t="n"/>
    </row>
    <row r="96">
      <c r="F96" s="298" t="n"/>
      <c r="H96" s="298" t="n"/>
      <c r="J96" s="298" t="n"/>
      <c r="L96" s="298" t="n"/>
      <c r="N96" s="298" t="n"/>
    </row>
    <row r="97">
      <c r="F97" s="298" t="n"/>
      <c r="H97" s="298" t="n"/>
      <c r="J97" s="298" t="n"/>
      <c r="L97" s="298" t="n"/>
      <c r="N97" s="298" t="n"/>
    </row>
    <row r="98">
      <c r="F98" s="298" t="n"/>
      <c r="H98" s="298" t="n"/>
      <c r="J98" s="298" t="n"/>
      <c r="L98" s="298" t="n"/>
      <c r="N98" s="298" t="n"/>
    </row>
    <row r="99">
      <c r="F99" s="298" t="n"/>
      <c r="H99" s="298" t="n"/>
      <c r="J99" s="298" t="n"/>
      <c r="L99" s="298" t="n"/>
      <c r="N99" s="298" t="n"/>
    </row>
    <row r="100">
      <c r="F100" s="298" t="n"/>
      <c r="H100" s="298" t="n"/>
      <c r="J100" s="298" t="n"/>
      <c r="L100" s="298" t="n"/>
      <c r="N100" s="298" t="n"/>
    </row>
    <row r="101">
      <c r="F101" s="298" t="n"/>
      <c r="H101" s="298" t="n"/>
      <c r="J101" s="298" t="n"/>
      <c r="L101" s="298" t="n"/>
      <c r="N101" s="298" t="n"/>
    </row>
    <row r="102">
      <c r="F102" s="298" t="n"/>
      <c r="H102" s="298" t="n"/>
      <c r="J102" s="298" t="n"/>
      <c r="L102" s="298" t="n"/>
      <c r="N102" s="298" t="n"/>
    </row>
    <row r="103">
      <c r="F103" s="298" t="n"/>
      <c r="H103" s="298" t="n"/>
      <c r="J103" s="298" t="n"/>
      <c r="L103" s="298" t="n"/>
      <c r="N103" s="298" t="n"/>
    </row>
    <row r="104">
      <c r="F104" s="298" t="n"/>
      <c r="H104" s="298" t="n"/>
      <c r="J104" s="298" t="n"/>
      <c r="L104" s="298" t="n"/>
      <c r="N104" s="298" t="n"/>
    </row>
    <row r="105">
      <c r="F105" s="298" t="n"/>
      <c r="H105" s="298" t="n"/>
      <c r="J105" s="298" t="n"/>
      <c r="L105" s="298" t="n"/>
      <c r="N105" s="298" t="n"/>
    </row>
    <row r="106">
      <c r="F106" s="298" t="n"/>
      <c r="H106" s="298" t="n"/>
      <c r="J106" s="298" t="n"/>
      <c r="L106" s="298" t="n"/>
      <c r="N106" s="298" t="n"/>
    </row>
    <row r="107">
      <c r="F107" s="298" t="n"/>
      <c r="H107" s="298" t="n"/>
      <c r="J107" s="298" t="n"/>
      <c r="L107" s="298" t="n"/>
      <c r="N107" s="298" t="n"/>
    </row>
    <row r="108">
      <c r="F108" s="298" t="n"/>
      <c r="H108" s="298" t="n"/>
      <c r="J108" s="298" t="n"/>
      <c r="L108" s="298" t="n"/>
      <c r="N108" s="298" t="n"/>
    </row>
    <row r="109">
      <c r="F109" s="298" t="n"/>
      <c r="H109" s="298" t="n"/>
      <c r="J109" s="298" t="n"/>
      <c r="L109" s="298" t="n"/>
      <c r="N109" s="298" t="n"/>
    </row>
    <row r="110">
      <c r="F110" s="298" t="n"/>
      <c r="H110" s="298" t="n"/>
      <c r="J110" s="298" t="n"/>
      <c r="L110" s="298" t="n"/>
      <c r="N110" s="298" t="n"/>
    </row>
    <row r="111">
      <c r="F111" s="298" t="n"/>
      <c r="H111" s="298" t="n"/>
      <c r="J111" s="298" t="n"/>
      <c r="L111" s="298" t="n"/>
      <c r="N111" s="298" t="n"/>
    </row>
    <row r="112">
      <c r="F112" s="298" t="n"/>
      <c r="H112" s="298" t="n"/>
      <c r="J112" s="298" t="n"/>
      <c r="L112" s="298" t="n"/>
      <c r="N112" s="298" t="n"/>
    </row>
    <row r="113">
      <c r="F113" s="298" t="n"/>
      <c r="H113" s="298" t="n"/>
      <c r="J113" s="298" t="n"/>
      <c r="L113" s="298" t="n"/>
      <c r="N113" s="298" t="n"/>
    </row>
    <row r="114">
      <c r="F114" s="298" t="n"/>
      <c r="H114" s="298" t="n"/>
      <c r="J114" s="298" t="n"/>
      <c r="L114" s="298" t="n"/>
      <c r="N114" s="298" t="n"/>
    </row>
    <row r="115">
      <c r="F115" s="298" t="n"/>
      <c r="H115" s="298" t="n"/>
      <c r="J115" s="298" t="n"/>
      <c r="L115" s="298" t="n"/>
      <c r="N115" s="298" t="n"/>
    </row>
    <row r="116">
      <c r="F116" s="298" t="n"/>
      <c r="H116" s="298" t="n"/>
      <c r="J116" s="298" t="n"/>
      <c r="L116" s="298" t="n"/>
      <c r="N116" s="298" t="n"/>
    </row>
    <row r="117">
      <c r="F117" s="298" t="n"/>
      <c r="H117" s="298" t="n"/>
      <c r="J117" s="298" t="n"/>
      <c r="L117" s="298" t="n"/>
      <c r="N117" s="298" t="n"/>
    </row>
    <row r="118">
      <c r="F118" s="298" t="n"/>
      <c r="H118" s="298" t="n"/>
      <c r="J118" s="298" t="n"/>
      <c r="L118" s="298" t="n"/>
      <c r="N118" s="298" t="n"/>
    </row>
    <row r="119">
      <c r="F119" s="298" t="n"/>
      <c r="H119" s="298" t="n"/>
      <c r="J119" s="298" t="n"/>
      <c r="L119" s="298" t="n"/>
      <c r="N119" s="298" t="n"/>
    </row>
    <row r="120">
      <c r="F120" s="298" t="n"/>
      <c r="H120" s="298" t="n"/>
      <c r="J120" s="298" t="n"/>
      <c r="L120" s="298" t="n"/>
      <c r="N120" s="298" t="n"/>
    </row>
    <row r="121">
      <c r="F121" s="298" t="n"/>
      <c r="H121" s="298" t="n"/>
      <c r="J121" s="298" t="n"/>
      <c r="L121" s="298" t="n"/>
      <c r="N121" s="298" t="n"/>
    </row>
    <row r="122">
      <c r="F122" s="298" t="n"/>
      <c r="H122" s="298" t="n"/>
      <c r="J122" s="298" t="n"/>
      <c r="L122" s="298" t="n"/>
      <c r="N122" s="298" t="n"/>
    </row>
    <row r="123">
      <c r="F123" s="298" t="n"/>
      <c r="H123" s="298" t="n"/>
      <c r="J123" s="298" t="n"/>
      <c r="L123" s="298" t="n"/>
      <c r="N123" s="298" t="n"/>
    </row>
    <row r="124">
      <c r="F124" s="298" t="n"/>
      <c r="H124" s="298" t="n"/>
      <c r="J124" s="298" t="n"/>
      <c r="L124" s="298" t="n"/>
      <c r="N124" s="298" t="n"/>
    </row>
    <row r="125">
      <c r="F125" s="298" t="n"/>
      <c r="H125" s="298" t="n"/>
      <c r="J125" s="298" t="n"/>
      <c r="L125" s="298" t="n"/>
      <c r="N125" s="298" t="n"/>
    </row>
    <row r="126">
      <c r="F126" s="298" t="n"/>
      <c r="H126" s="298" t="n"/>
      <c r="J126" s="298" t="n"/>
      <c r="L126" s="298" t="n"/>
      <c r="N126" s="298" t="n"/>
    </row>
    <row r="127">
      <c r="F127" s="298" t="n"/>
      <c r="H127" s="298" t="n"/>
      <c r="J127" s="298" t="n"/>
      <c r="L127" s="298" t="n"/>
      <c r="N127" s="298" t="n"/>
    </row>
    <row r="128">
      <c r="F128" s="298" t="n"/>
      <c r="H128" s="298" t="n"/>
      <c r="J128" s="298" t="n"/>
      <c r="L128" s="298" t="n"/>
      <c r="N128" s="298" t="n"/>
    </row>
    <row r="129">
      <c r="F129" s="298" t="n"/>
      <c r="H129" s="298" t="n"/>
      <c r="J129" s="298" t="n"/>
      <c r="L129" s="298" t="n"/>
      <c r="N129" s="298" t="n"/>
    </row>
    <row r="130">
      <c r="F130" s="298" t="n"/>
      <c r="H130" s="298" t="n"/>
      <c r="J130" s="298" t="n"/>
      <c r="L130" s="298" t="n"/>
      <c r="N130" s="298" t="n"/>
    </row>
    <row r="131">
      <c r="F131" s="298" t="n"/>
      <c r="H131" s="298" t="n"/>
      <c r="J131" s="298" t="n"/>
      <c r="L131" s="298" t="n"/>
      <c r="N131" s="298" t="n"/>
    </row>
    <row r="132">
      <c r="F132" s="298" t="n"/>
      <c r="H132" s="298" t="n"/>
      <c r="J132" s="298" t="n"/>
      <c r="L132" s="298" t="n"/>
      <c r="N132" s="298" t="n"/>
    </row>
    <row r="133">
      <c r="F133" s="298" t="n"/>
      <c r="H133" s="298" t="n"/>
      <c r="J133" s="298" t="n"/>
      <c r="L133" s="298" t="n"/>
      <c r="N133" s="298" t="n"/>
    </row>
    <row r="134">
      <c r="F134" s="298" t="n"/>
      <c r="H134" s="298" t="n"/>
      <c r="J134" s="298" t="n"/>
      <c r="L134" s="298" t="n"/>
      <c r="N134" s="298" t="n"/>
    </row>
    <row r="135">
      <c r="F135" s="298" t="n"/>
      <c r="H135" s="298" t="n"/>
      <c r="J135" s="298" t="n"/>
      <c r="L135" s="298" t="n"/>
      <c r="N135" s="298" t="n"/>
    </row>
    <row r="136">
      <c r="F136" s="298" t="n"/>
      <c r="H136" s="298" t="n"/>
      <c r="J136" s="298" t="n"/>
      <c r="L136" s="298" t="n"/>
      <c r="N136" s="298" t="n"/>
    </row>
    <row r="137">
      <c r="F137" s="298" t="n"/>
      <c r="H137" s="298" t="n"/>
      <c r="J137" s="298" t="n"/>
      <c r="L137" s="298" t="n"/>
      <c r="N137" s="298" t="n"/>
    </row>
    <row r="138">
      <c r="F138" s="298" t="n"/>
      <c r="H138" s="298" t="n"/>
      <c r="J138" s="298" t="n"/>
      <c r="L138" s="298" t="n"/>
      <c r="N138" s="298" t="n"/>
    </row>
    <row r="139">
      <c r="F139" s="298" t="n"/>
      <c r="H139" s="298" t="n"/>
      <c r="J139" s="298" t="n"/>
      <c r="L139" s="298" t="n"/>
      <c r="N139" s="298" t="n"/>
    </row>
    <row r="140">
      <c r="F140" s="298" t="n"/>
      <c r="H140" s="298" t="n"/>
      <c r="J140" s="298" t="n"/>
      <c r="L140" s="298" t="n"/>
      <c r="N140" s="298" t="n"/>
    </row>
    <row r="141">
      <c r="F141" s="298" t="n"/>
      <c r="H141" s="298" t="n"/>
      <c r="J141" s="298" t="n"/>
      <c r="L141" s="298" t="n"/>
      <c r="N141" s="298" t="n"/>
    </row>
    <row r="142">
      <c r="F142" s="298" t="n"/>
      <c r="H142" s="298" t="n"/>
      <c r="J142" s="298" t="n"/>
      <c r="L142" s="298" t="n"/>
      <c r="N142" s="298" t="n"/>
    </row>
    <row r="143">
      <c r="F143" s="298" t="n"/>
      <c r="H143" s="298" t="n"/>
      <c r="J143" s="298" t="n"/>
      <c r="L143" s="298" t="n"/>
      <c r="N143" s="298" t="n"/>
    </row>
    <row r="144">
      <c r="F144" s="298" t="n"/>
      <c r="H144" s="298" t="n"/>
      <c r="J144" s="298" t="n"/>
      <c r="L144" s="298" t="n"/>
      <c r="N144" s="298" t="n"/>
    </row>
    <row r="145">
      <c r="F145" s="298" t="n"/>
      <c r="H145" s="298" t="n"/>
      <c r="J145" s="298" t="n"/>
      <c r="L145" s="298" t="n"/>
      <c r="N145" s="298" t="n"/>
    </row>
    <row r="146">
      <c r="F146" s="298" t="n"/>
      <c r="H146" s="298" t="n"/>
      <c r="J146" s="298" t="n"/>
      <c r="L146" s="298" t="n"/>
      <c r="N146" s="298" t="n"/>
    </row>
    <row r="147">
      <c r="F147" s="298" t="n"/>
      <c r="H147" s="298" t="n"/>
      <c r="J147" s="298" t="n"/>
      <c r="L147" s="298" t="n"/>
      <c r="N147" s="298" t="n"/>
    </row>
    <row r="148">
      <c r="F148" s="298" t="n"/>
      <c r="H148" s="298" t="n"/>
      <c r="J148" s="298" t="n"/>
      <c r="L148" s="298" t="n"/>
      <c r="N148" s="298" t="n"/>
    </row>
    <row r="149">
      <c r="F149" s="298" t="n"/>
      <c r="H149" s="298" t="n"/>
      <c r="J149" s="298" t="n"/>
      <c r="L149" s="298" t="n"/>
      <c r="N149" s="298" t="n"/>
    </row>
    <row r="150">
      <c r="F150" s="298" t="n"/>
      <c r="H150" s="298" t="n"/>
      <c r="J150" s="298" t="n"/>
      <c r="L150" s="298" t="n"/>
      <c r="N150" s="298" t="n"/>
    </row>
    <row r="151">
      <c r="F151" s="298" t="n"/>
      <c r="H151" s="298" t="n"/>
      <c r="J151" s="298" t="n"/>
      <c r="L151" s="298" t="n"/>
      <c r="N151" s="298" t="n"/>
    </row>
    <row r="152">
      <c r="F152" s="298" t="n"/>
      <c r="H152" s="298" t="n"/>
      <c r="J152" s="298" t="n"/>
      <c r="L152" s="298" t="n"/>
      <c r="N152" s="298" t="n"/>
    </row>
    <row r="153">
      <c r="F153" s="298" t="n"/>
      <c r="H153" s="298" t="n"/>
      <c r="J153" s="298" t="n"/>
      <c r="L153" s="298" t="n"/>
      <c r="N153" s="298" t="n"/>
    </row>
    <row r="154">
      <c r="F154" s="298" t="n"/>
      <c r="H154" s="298" t="n"/>
      <c r="J154" s="298" t="n"/>
      <c r="L154" s="298" t="n"/>
      <c r="N154" s="298" t="n"/>
    </row>
    <row r="155">
      <c r="F155" s="298" t="n"/>
      <c r="H155" s="298" t="n"/>
      <c r="J155" s="298" t="n"/>
      <c r="L155" s="298" t="n"/>
      <c r="N155" s="298" t="n"/>
    </row>
    <row r="156">
      <c r="F156" s="298" t="n"/>
      <c r="H156" s="298" t="n"/>
      <c r="J156" s="298" t="n"/>
      <c r="L156" s="298" t="n"/>
      <c r="N156" s="298" t="n"/>
    </row>
    <row r="157">
      <c r="F157" s="298" t="n"/>
      <c r="H157" s="298" t="n"/>
      <c r="J157" s="298" t="n"/>
      <c r="L157" s="298" t="n"/>
      <c r="N157" s="298" t="n"/>
    </row>
    <row r="158">
      <c r="F158" s="298" t="n"/>
      <c r="H158" s="298" t="n"/>
      <c r="J158" s="298" t="n"/>
      <c r="L158" s="298" t="n"/>
      <c r="N158" s="298" t="n"/>
    </row>
    <row r="159">
      <c r="F159" s="298" t="n"/>
      <c r="H159" s="298" t="n"/>
      <c r="J159" s="298" t="n"/>
      <c r="L159" s="298" t="n"/>
      <c r="N159" s="298" t="n"/>
    </row>
    <row r="160">
      <c r="F160" s="298" t="n"/>
      <c r="H160" s="298" t="n"/>
      <c r="J160" s="298" t="n"/>
      <c r="L160" s="298" t="n"/>
      <c r="N160" s="298" t="n"/>
    </row>
    <row r="161">
      <c r="F161" s="298" t="n"/>
      <c r="H161" s="298" t="n"/>
      <c r="J161" s="298" t="n"/>
      <c r="L161" s="298" t="n"/>
      <c r="N161" s="298" t="n"/>
    </row>
    <row r="162">
      <c r="F162" s="298" t="n"/>
      <c r="H162" s="298" t="n"/>
      <c r="J162" s="298" t="n"/>
      <c r="L162" s="298" t="n"/>
      <c r="N162" s="298" t="n"/>
    </row>
    <row r="163">
      <c r="F163" s="298" t="n"/>
      <c r="H163" s="298" t="n"/>
      <c r="J163" s="298" t="n"/>
      <c r="L163" s="298" t="n"/>
      <c r="N163" s="298" t="n"/>
    </row>
    <row r="164">
      <c r="F164" s="298" t="n"/>
      <c r="H164" s="298" t="n"/>
      <c r="J164" s="298" t="n"/>
      <c r="L164" s="298" t="n"/>
      <c r="N164" s="298" t="n"/>
    </row>
    <row r="165">
      <c r="F165" s="298" t="n"/>
      <c r="H165" s="298" t="n"/>
      <c r="J165" s="298" t="n"/>
      <c r="L165" s="298" t="n"/>
      <c r="N165" s="298" t="n"/>
    </row>
    <row r="166">
      <c r="F166" s="298" t="n"/>
      <c r="H166" s="298" t="n"/>
      <c r="J166" s="298" t="n"/>
      <c r="L166" s="298" t="n"/>
      <c r="N166" s="298" t="n"/>
    </row>
    <row r="167">
      <c r="F167" s="298" t="n"/>
      <c r="H167" s="298" t="n"/>
      <c r="J167" s="298" t="n"/>
      <c r="L167" s="298" t="n"/>
      <c r="N167" s="298" t="n"/>
    </row>
    <row r="168">
      <c r="F168" s="298" t="n"/>
      <c r="H168" s="298" t="n"/>
      <c r="J168" s="298" t="n"/>
      <c r="L168" s="298" t="n"/>
      <c r="N168" s="298" t="n"/>
    </row>
    <row r="169">
      <c r="F169" s="298" t="n"/>
      <c r="H169" s="298" t="n"/>
      <c r="J169" s="298" t="n"/>
      <c r="L169" s="298" t="n"/>
      <c r="N169" s="298" t="n"/>
    </row>
    <row r="170">
      <c r="F170" s="298" t="n"/>
      <c r="H170" s="298" t="n"/>
      <c r="J170" s="298" t="n"/>
      <c r="L170" s="298" t="n"/>
      <c r="N170" s="298" t="n"/>
    </row>
    <row r="171">
      <c r="F171" s="298" t="n"/>
      <c r="H171" s="298" t="n"/>
      <c r="J171" s="298" t="n"/>
      <c r="L171" s="298" t="n"/>
      <c r="N171" s="298" t="n"/>
    </row>
    <row r="172">
      <c r="F172" s="298" t="n"/>
      <c r="H172" s="298" t="n"/>
      <c r="J172" s="298" t="n"/>
      <c r="L172" s="298" t="n"/>
      <c r="N172" s="298" t="n"/>
    </row>
    <row r="173">
      <c r="F173" s="298" t="n"/>
      <c r="H173" s="298" t="n"/>
      <c r="J173" s="298" t="n"/>
      <c r="L173" s="298" t="n"/>
      <c r="N173" s="298" t="n"/>
    </row>
    <row r="174">
      <c r="F174" s="298" t="n"/>
      <c r="H174" s="298" t="n"/>
      <c r="J174" s="298" t="n"/>
      <c r="L174" s="298" t="n"/>
      <c r="N174" s="298" t="n"/>
    </row>
    <row r="175">
      <c r="F175" s="298" t="n"/>
      <c r="H175" s="298" t="n"/>
      <c r="J175" s="298" t="n"/>
      <c r="L175" s="298" t="n"/>
      <c r="N175" s="298" t="n"/>
    </row>
    <row r="176">
      <c r="F176" s="298" t="n"/>
      <c r="H176" s="298" t="n"/>
      <c r="J176" s="298" t="n"/>
      <c r="L176" s="298" t="n"/>
      <c r="N176" s="298" t="n"/>
    </row>
    <row r="177">
      <c r="F177" s="298" t="n"/>
      <c r="H177" s="298" t="n"/>
      <c r="J177" s="298" t="n"/>
      <c r="L177" s="298" t="n"/>
      <c r="N177" s="298" t="n"/>
    </row>
    <row r="178">
      <c r="F178" s="298" t="n"/>
      <c r="H178" s="298" t="n"/>
      <c r="J178" s="298" t="n"/>
      <c r="L178" s="298" t="n"/>
      <c r="N178" s="298" t="n"/>
    </row>
    <row r="179">
      <c r="F179" s="298" t="n"/>
      <c r="H179" s="298" t="n"/>
      <c r="J179" s="298" t="n"/>
      <c r="L179" s="298" t="n"/>
      <c r="N179" s="298" t="n"/>
    </row>
    <row r="180">
      <c r="F180" s="298" t="n"/>
      <c r="H180" s="298" t="n"/>
      <c r="J180" s="298" t="n"/>
      <c r="L180" s="298" t="n"/>
      <c r="N180" s="298" t="n"/>
    </row>
    <row r="181">
      <c r="F181" s="298" t="n"/>
      <c r="H181" s="298" t="n"/>
      <c r="J181" s="298" t="n"/>
      <c r="L181" s="298" t="n"/>
      <c r="N181" s="298" t="n"/>
    </row>
    <row r="182">
      <c r="F182" s="298" t="n"/>
      <c r="H182" s="298" t="n"/>
      <c r="J182" s="298" t="n"/>
      <c r="L182" s="298" t="n"/>
      <c r="N182" s="298" t="n"/>
    </row>
    <row r="183">
      <c r="F183" s="298" t="n"/>
      <c r="H183" s="298" t="n"/>
      <c r="J183" s="298" t="n"/>
      <c r="L183" s="298" t="n"/>
      <c r="N183" s="298" t="n"/>
    </row>
    <row r="184">
      <c r="F184" s="298" t="n"/>
      <c r="H184" s="298" t="n"/>
      <c r="J184" s="298" t="n"/>
      <c r="L184" s="298" t="n"/>
      <c r="N184" s="298" t="n"/>
    </row>
    <row r="185">
      <c r="F185" s="298" t="n"/>
      <c r="H185" s="298" t="n"/>
      <c r="J185" s="298" t="n"/>
      <c r="L185" s="298" t="n"/>
      <c r="N185" s="298" t="n"/>
    </row>
    <row r="186">
      <c r="F186" s="298" t="n"/>
      <c r="H186" s="298" t="n"/>
      <c r="J186" s="298" t="n"/>
      <c r="L186" s="298" t="n"/>
      <c r="N186" s="298" t="n"/>
    </row>
    <row r="187">
      <c r="F187" s="298" t="n"/>
      <c r="H187" s="298" t="n"/>
      <c r="J187" s="298" t="n"/>
      <c r="L187" s="298" t="n"/>
      <c r="N187" s="298" t="n"/>
    </row>
    <row r="188">
      <c r="F188" s="298" t="n"/>
      <c r="H188" s="298" t="n"/>
      <c r="J188" s="298" t="n"/>
      <c r="L188" s="298" t="n"/>
      <c r="N188" s="298" t="n"/>
    </row>
    <row r="189">
      <c r="F189" s="298" t="n"/>
      <c r="H189" s="298" t="n"/>
      <c r="J189" s="298" t="n"/>
      <c r="L189" s="298" t="n"/>
      <c r="N189" s="298" t="n"/>
    </row>
    <row r="190">
      <c r="F190" s="298" t="n"/>
      <c r="H190" s="298" t="n"/>
      <c r="J190" s="298" t="n"/>
      <c r="L190" s="298" t="n"/>
      <c r="N190" s="298" t="n"/>
    </row>
    <row r="191">
      <c r="F191" s="298" t="n"/>
      <c r="H191" s="298" t="n"/>
      <c r="J191" s="298" t="n"/>
      <c r="L191" s="298" t="n"/>
      <c r="N191" s="298" t="n"/>
    </row>
    <row r="192">
      <c r="F192" s="298" t="n"/>
      <c r="H192" s="298" t="n"/>
      <c r="J192" s="298" t="n"/>
      <c r="L192" s="298" t="n"/>
      <c r="N192" s="298" t="n"/>
    </row>
    <row r="193">
      <c r="F193" s="298" t="n"/>
      <c r="H193" s="298" t="n"/>
      <c r="J193" s="298" t="n"/>
      <c r="L193" s="298" t="n"/>
      <c r="N193" s="298" t="n"/>
    </row>
    <row r="194">
      <c r="F194" s="298" t="n"/>
      <c r="H194" s="298" t="n"/>
      <c r="J194" s="298" t="n"/>
      <c r="L194" s="298" t="n"/>
      <c r="N194" s="298" t="n"/>
    </row>
    <row r="195">
      <c r="F195" s="298" t="n"/>
      <c r="H195" s="298" t="n"/>
      <c r="J195" s="298" t="n"/>
      <c r="L195" s="298" t="n"/>
      <c r="N195" s="298" t="n"/>
    </row>
    <row r="196">
      <c r="F196" s="298" t="n"/>
      <c r="H196" s="298" t="n"/>
      <c r="J196" s="298" t="n"/>
      <c r="L196" s="298" t="n"/>
      <c r="N196" s="298" t="n"/>
    </row>
    <row r="197">
      <c r="F197" s="298" t="n"/>
      <c r="H197" s="298" t="n"/>
      <c r="J197" s="298" t="n"/>
      <c r="L197" s="298" t="n"/>
      <c r="N197" s="298" t="n"/>
    </row>
    <row r="198">
      <c r="F198" s="298" t="n"/>
      <c r="H198" s="298" t="n"/>
      <c r="J198" s="298" t="n"/>
      <c r="L198" s="298" t="n"/>
      <c r="N198" s="298" t="n"/>
    </row>
    <row r="199">
      <c r="F199" s="298" t="n"/>
      <c r="H199" s="298" t="n"/>
      <c r="J199" s="298" t="n"/>
      <c r="L199" s="298" t="n"/>
      <c r="N199" s="298" t="n"/>
    </row>
    <row r="200">
      <c r="F200" s="298" t="n"/>
      <c r="H200" s="298" t="n"/>
      <c r="J200" s="298" t="n"/>
      <c r="L200" s="298" t="n"/>
      <c r="N200" s="298" t="n"/>
    </row>
    <row r="201">
      <c r="F201" s="298" t="n"/>
      <c r="H201" s="298" t="n"/>
      <c r="J201" s="298" t="n"/>
      <c r="L201" s="298" t="n"/>
      <c r="N201" s="298" t="n"/>
    </row>
    <row r="202">
      <c r="F202" s="298" t="n"/>
      <c r="H202" s="298" t="n"/>
      <c r="J202" s="298" t="n"/>
      <c r="L202" s="298" t="n"/>
      <c r="N202" s="298" t="n"/>
    </row>
    <row r="203">
      <c r="F203" s="298" t="n"/>
      <c r="H203" s="298" t="n"/>
      <c r="J203" s="298" t="n"/>
      <c r="L203" s="298" t="n"/>
      <c r="N203" s="298" t="n"/>
    </row>
    <row r="204">
      <c r="F204" s="298" t="n"/>
      <c r="H204" s="298" t="n"/>
      <c r="J204" s="298" t="n"/>
      <c r="L204" s="298" t="n"/>
      <c r="N204" s="298" t="n"/>
    </row>
    <row r="205">
      <c r="F205" s="298" t="n"/>
      <c r="H205" s="298" t="n"/>
      <c r="J205" s="298" t="n"/>
      <c r="L205" s="298" t="n"/>
      <c r="N205" s="298" t="n"/>
    </row>
    <row r="206">
      <c r="F206" s="298" t="n"/>
      <c r="H206" s="298" t="n"/>
      <c r="J206" s="298" t="n"/>
      <c r="L206" s="298" t="n"/>
      <c r="N206" s="298" t="n"/>
    </row>
    <row r="207">
      <c r="F207" s="298" t="n"/>
      <c r="H207" s="298" t="n"/>
      <c r="J207" s="298" t="n"/>
      <c r="L207" s="298" t="n"/>
      <c r="N207" s="298" t="n"/>
    </row>
    <row r="208">
      <c r="F208" s="298" t="n"/>
      <c r="H208" s="298" t="n"/>
      <c r="J208" s="298" t="n"/>
      <c r="L208" s="298" t="n"/>
      <c r="N208" s="298" t="n"/>
    </row>
    <row r="209">
      <c r="F209" s="298" t="n"/>
      <c r="H209" s="298" t="n"/>
      <c r="J209" s="298" t="n"/>
      <c r="L209" s="298" t="n"/>
      <c r="N209" s="298" t="n"/>
    </row>
    <row r="210">
      <c r="F210" s="298" t="n"/>
      <c r="H210" s="298" t="n"/>
      <c r="J210" s="298" t="n"/>
      <c r="L210" s="298" t="n"/>
      <c r="N210" s="298" t="n"/>
    </row>
    <row r="211">
      <c r="F211" s="298" t="n"/>
      <c r="H211" s="298" t="n"/>
      <c r="J211" s="298" t="n"/>
      <c r="L211" s="298" t="n"/>
      <c r="N211" s="298" t="n"/>
    </row>
    <row r="212">
      <c r="F212" s="298" t="n"/>
      <c r="H212" s="298" t="n"/>
      <c r="J212" s="298" t="n"/>
      <c r="L212" s="298" t="n"/>
      <c r="N212" s="298" t="n"/>
    </row>
    <row r="213">
      <c r="F213" s="298" t="n"/>
      <c r="H213" s="298" t="n"/>
      <c r="J213" s="298" t="n"/>
      <c r="L213" s="298" t="n"/>
      <c r="N213" s="298" t="n"/>
    </row>
    <row r="214">
      <c r="F214" s="298" t="n"/>
      <c r="H214" s="298" t="n"/>
      <c r="J214" s="298" t="n"/>
      <c r="L214" s="298" t="n"/>
      <c r="N214" s="298" t="n"/>
    </row>
    <row r="215">
      <c r="F215" s="298" t="n"/>
      <c r="H215" s="298" t="n"/>
      <c r="J215" s="298" t="n"/>
      <c r="L215" s="298" t="n"/>
      <c r="N215" s="298" t="n"/>
    </row>
    <row r="216">
      <c r="F216" s="298" t="n"/>
      <c r="H216" s="298" t="n"/>
      <c r="J216" s="298" t="n"/>
      <c r="L216" s="298" t="n"/>
      <c r="N216" s="298" t="n"/>
    </row>
    <row r="217">
      <c r="F217" s="298" t="n"/>
      <c r="H217" s="298" t="n"/>
      <c r="J217" s="298" t="n"/>
      <c r="L217" s="298" t="n"/>
      <c r="N217" s="298" t="n"/>
    </row>
    <row r="218">
      <c r="F218" s="298" t="n"/>
      <c r="H218" s="298" t="n"/>
      <c r="J218" s="298" t="n"/>
      <c r="L218" s="298" t="n"/>
      <c r="N218" s="298" t="n"/>
    </row>
    <row r="219">
      <c r="F219" s="298" t="n"/>
      <c r="H219" s="298" t="n"/>
      <c r="J219" s="298" t="n"/>
      <c r="L219" s="298" t="n"/>
      <c r="N219" s="298" t="n"/>
    </row>
    <row r="220">
      <c r="F220" s="298" t="n"/>
      <c r="H220" s="298" t="n"/>
      <c r="J220" s="298" t="n"/>
      <c r="L220" s="298" t="n"/>
      <c r="N220" s="298" t="n"/>
    </row>
    <row r="221">
      <c r="F221" s="298" t="n"/>
      <c r="H221" s="298" t="n"/>
      <c r="J221" s="298" t="n"/>
      <c r="L221" s="298" t="n"/>
      <c r="N221" s="298" t="n"/>
    </row>
    <row r="222">
      <c r="F222" s="298" t="n"/>
      <c r="H222" s="298" t="n"/>
      <c r="J222" s="298" t="n"/>
      <c r="L222" s="298" t="n"/>
      <c r="N222" s="298" t="n"/>
    </row>
    <row r="223">
      <c r="F223" s="298" t="n"/>
      <c r="H223" s="298" t="n"/>
      <c r="J223" s="298" t="n"/>
      <c r="L223" s="298" t="n"/>
      <c r="N223" s="298" t="n"/>
    </row>
    <row r="224">
      <c r="F224" s="298" t="n"/>
      <c r="H224" s="298" t="n"/>
      <c r="J224" s="298" t="n"/>
      <c r="L224" s="298" t="n"/>
      <c r="N224" s="298" t="n"/>
    </row>
    <row r="225">
      <c r="F225" s="298" t="n"/>
      <c r="H225" s="298" t="n"/>
      <c r="J225" s="298" t="n"/>
      <c r="L225" s="298" t="n"/>
      <c r="N225" s="298" t="n"/>
    </row>
    <row r="226">
      <c r="F226" s="298" t="n"/>
      <c r="H226" s="298" t="n"/>
      <c r="J226" s="298" t="n"/>
      <c r="L226" s="298" t="n"/>
      <c r="N226" s="298" t="n"/>
    </row>
    <row r="227">
      <c r="F227" s="298" t="n"/>
      <c r="H227" s="298" t="n"/>
      <c r="J227" s="298" t="n"/>
      <c r="L227" s="298" t="n"/>
      <c r="N227" s="298" t="n"/>
    </row>
    <row r="228">
      <c r="F228" s="298" t="n"/>
      <c r="H228" s="298" t="n"/>
      <c r="J228" s="298" t="n"/>
      <c r="L228" s="298" t="n"/>
      <c r="N228" s="298" t="n"/>
    </row>
    <row r="229">
      <c r="F229" s="298" t="n"/>
      <c r="H229" s="298" t="n"/>
      <c r="J229" s="298" t="n"/>
      <c r="L229" s="298" t="n"/>
      <c r="N229" s="298" t="n"/>
    </row>
    <row r="230">
      <c r="F230" s="298" t="n"/>
      <c r="H230" s="298" t="n"/>
      <c r="J230" s="298" t="n"/>
      <c r="L230" s="298" t="n"/>
      <c r="N230" s="298" t="n"/>
    </row>
    <row r="231">
      <c r="F231" s="298" t="n"/>
      <c r="H231" s="298" t="n"/>
      <c r="J231" s="298" t="n"/>
      <c r="L231" s="298" t="n"/>
      <c r="N231" s="298" t="n"/>
    </row>
    <row r="232">
      <c r="F232" s="298" t="n"/>
      <c r="H232" s="298" t="n"/>
      <c r="J232" s="298" t="n"/>
      <c r="L232" s="298" t="n"/>
      <c r="N232" s="298" t="n"/>
    </row>
    <row r="233">
      <c r="F233" s="298" t="n"/>
      <c r="H233" s="298" t="n"/>
      <c r="J233" s="298" t="n"/>
      <c r="L233" s="298" t="n"/>
      <c r="N233" s="298" t="n"/>
    </row>
    <row r="234">
      <c r="F234" s="298" t="n"/>
      <c r="H234" s="298" t="n"/>
      <c r="J234" s="298" t="n"/>
      <c r="L234" s="298" t="n"/>
      <c r="N234" s="298" t="n"/>
    </row>
    <row r="235">
      <c r="F235" s="298" t="n"/>
      <c r="H235" s="298" t="n"/>
      <c r="J235" s="298" t="n"/>
      <c r="L235" s="298" t="n"/>
      <c r="N235" s="298" t="n"/>
    </row>
    <row r="236">
      <c r="F236" s="298" t="n"/>
      <c r="H236" s="298" t="n"/>
      <c r="J236" s="298" t="n"/>
      <c r="L236" s="298" t="n"/>
      <c r="N236" s="298" t="n"/>
    </row>
    <row r="237">
      <c r="F237" s="298" t="n"/>
      <c r="H237" s="298" t="n"/>
      <c r="J237" s="298" t="n"/>
      <c r="L237" s="298" t="n"/>
      <c r="N237" s="298" t="n"/>
    </row>
    <row r="238">
      <c r="F238" s="298" t="n"/>
      <c r="H238" s="298" t="n"/>
      <c r="J238" s="298" t="n"/>
      <c r="L238" s="298" t="n"/>
      <c r="N238" s="298" t="n"/>
    </row>
    <row r="239">
      <c r="F239" s="298" t="n"/>
      <c r="H239" s="298" t="n"/>
      <c r="J239" s="298" t="n"/>
      <c r="L239" s="298" t="n"/>
      <c r="N239" s="298" t="n"/>
    </row>
    <row r="240">
      <c r="F240" s="298" t="n"/>
      <c r="H240" s="298" t="n"/>
      <c r="J240" s="298" t="n"/>
      <c r="L240" s="298" t="n"/>
      <c r="N240" s="298" t="n"/>
    </row>
    <row r="241">
      <c r="F241" s="298" t="n"/>
      <c r="H241" s="298" t="n"/>
      <c r="J241" s="298" t="n"/>
      <c r="L241" s="298" t="n"/>
      <c r="N241" s="298" t="n"/>
    </row>
    <row r="242">
      <c r="F242" s="298" t="n"/>
      <c r="H242" s="298" t="n"/>
      <c r="J242" s="298" t="n"/>
      <c r="L242" s="298" t="n"/>
      <c r="N242" s="298" t="n"/>
    </row>
    <row r="243">
      <c r="F243" s="298" t="n"/>
      <c r="H243" s="298" t="n"/>
      <c r="J243" s="298" t="n"/>
      <c r="L243" s="298" t="n"/>
      <c r="N243" s="298" t="n"/>
    </row>
    <row r="244">
      <c r="F244" s="298" t="n"/>
      <c r="H244" s="298" t="n"/>
      <c r="J244" s="298" t="n"/>
      <c r="L244" s="298" t="n"/>
      <c r="N244" s="298" t="n"/>
    </row>
    <row r="245">
      <c r="F245" s="298" t="n"/>
      <c r="H245" s="298" t="n"/>
      <c r="J245" s="298" t="n"/>
      <c r="L245" s="298" t="n"/>
      <c r="N245" s="298" t="n"/>
    </row>
    <row r="246">
      <c r="F246" s="298" t="n"/>
      <c r="H246" s="298" t="n"/>
      <c r="J246" s="298" t="n"/>
      <c r="L246" s="298" t="n"/>
      <c r="N246" s="298" t="n"/>
    </row>
    <row r="247">
      <c r="F247" s="298" t="n"/>
      <c r="H247" s="298" t="n"/>
      <c r="J247" s="298" t="n"/>
      <c r="L247" s="298" t="n"/>
      <c r="N247" s="298" t="n"/>
    </row>
    <row r="248">
      <c r="F248" s="298" t="n"/>
      <c r="H248" s="298" t="n"/>
      <c r="J248" s="298" t="n"/>
      <c r="L248" s="298" t="n"/>
      <c r="N248" s="298" t="n"/>
    </row>
    <row r="249">
      <c r="F249" s="298" t="n"/>
      <c r="H249" s="298" t="n"/>
      <c r="J249" s="298" t="n"/>
      <c r="L249" s="298" t="n"/>
      <c r="N249" s="298" t="n"/>
    </row>
    <row r="250">
      <c r="F250" s="298" t="n"/>
      <c r="H250" s="298" t="n"/>
      <c r="J250" s="298" t="n"/>
      <c r="L250" s="298" t="n"/>
      <c r="N250" s="298" t="n"/>
    </row>
    <row r="251">
      <c r="F251" s="298" t="n"/>
      <c r="H251" s="298" t="n"/>
      <c r="J251" s="298" t="n"/>
      <c r="L251" s="298" t="n"/>
      <c r="N251" s="298" t="n"/>
    </row>
    <row r="252">
      <c r="F252" s="298" t="n"/>
      <c r="H252" s="298" t="n"/>
      <c r="J252" s="298" t="n"/>
      <c r="L252" s="298" t="n"/>
      <c r="N252" s="298" t="n"/>
    </row>
    <row r="253">
      <c r="F253" s="298" t="n"/>
      <c r="H253" s="298" t="n"/>
      <c r="J253" s="298" t="n"/>
      <c r="L253" s="298" t="n"/>
      <c r="N253" s="298" t="n"/>
    </row>
    <row r="254">
      <c r="F254" s="298" t="n"/>
      <c r="H254" s="298" t="n"/>
      <c r="J254" s="298" t="n"/>
      <c r="L254" s="298" t="n"/>
      <c r="N254" s="298" t="n"/>
    </row>
    <row r="255">
      <c r="F255" s="298" t="n"/>
      <c r="H255" s="298" t="n"/>
      <c r="J255" s="298" t="n"/>
      <c r="L255" s="298" t="n"/>
      <c r="N255" s="298" t="n"/>
    </row>
    <row r="256">
      <c r="F256" s="298" t="n"/>
      <c r="H256" s="298" t="n"/>
      <c r="J256" s="298" t="n"/>
      <c r="L256" s="298" t="n"/>
      <c r="N256" s="298" t="n"/>
    </row>
    <row r="257">
      <c r="F257" s="298" t="n"/>
      <c r="H257" s="298" t="n"/>
      <c r="J257" s="298" t="n"/>
      <c r="L257" s="298" t="n"/>
      <c r="N257" s="298" t="n"/>
    </row>
    <row r="258">
      <c r="F258" s="298" t="n"/>
      <c r="H258" s="298" t="n"/>
      <c r="J258" s="298" t="n"/>
      <c r="L258" s="298" t="n"/>
      <c r="N258" s="298" t="n"/>
    </row>
    <row r="259">
      <c r="F259" s="298" t="n"/>
      <c r="H259" s="298" t="n"/>
      <c r="J259" s="298" t="n"/>
      <c r="L259" s="298" t="n"/>
      <c r="N259" s="298" t="n"/>
    </row>
    <row r="260">
      <c r="F260" s="298" t="n"/>
      <c r="H260" s="298" t="n"/>
      <c r="J260" s="298" t="n"/>
      <c r="L260" s="298" t="n"/>
      <c r="N260" s="298" t="n"/>
    </row>
    <row r="261">
      <c r="F261" s="298" t="n"/>
      <c r="H261" s="298" t="n"/>
      <c r="J261" s="298" t="n"/>
      <c r="L261" s="298" t="n"/>
      <c r="N261" s="298" t="n"/>
    </row>
    <row r="262">
      <c r="F262" s="298" t="n"/>
      <c r="H262" s="298" t="n"/>
      <c r="J262" s="298" t="n"/>
      <c r="L262" s="298" t="n"/>
      <c r="N262" s="298" t="n"/>
    </row>
    <row r="263">
      <c r="F263" s="298" t="n"/>
      <c r="H263" s="298" t="n"/>
      <c r="J263" s="298" t="n"/>
      <c r="L263" s="298" t="n"/>
      <c r="N263" s="298" t="n"/>
    </row>
    <row r="264">
      <c r="F264" s="298" t="n"/>
      <c r="H264" s="298" t="n"/>
      <c r="J264" s="298" t="n"/>
      <c r="L264" s="298" t="n"/>
      <c r="N264" s="298" t="n"/>
    </row>
    <row r="265">
      <c r="F265" s="298" t="n"/>
      <c r="H265" s="298" t="n"/>
      <c r="J265" s="298" t="n"/>
      <c r="L265" s="298" t="n"/>
      <c r="N265" s="298" t="n"/>
    </row>
    <row r="266">
      <c r="F266" s="298" t="n"/>
      <c r="H266" s="298" t="n"/>
      <c r="J266" s="298" t="n"/>
      <c r="L266" s="298" t="n"/>
      <c r="N266" s="298" t="n"/>
    </row>
    <row r="267">
      <c r="F267" s="298" t="n"/>
      <c r="H267" s="298" t="n"/>
      <c r="J267" s="298" t="n"/>
      <c r="L267" s="298" t="n"/>
      <c r="N267" s="298" t="n"/>
    </row>
    <row r="268">
      <c r="F268" s="298" t="n"/>
      <c r="H268" s="298" t="n"/>
      <c r="J268" s="298" t="n"/>
      <c r="L268" s="298" t="n"/>
      <c r="N268" s="298" t="n"/>
    </row>
    <row r="269">
      <c r="F269" s="298" t="n"/>
      <c r="H269" s="298" t="n"/>
      <c r="J269" s="298" t="n"/>
      <c r="L269" s="298" t="n"/>
      <c r="N269" s="298" t="n"/>
    </row>
    <row r="270">
      <c r="F270" s="298" t="n"/>
      <c r="H270" s="298" t="n"/>
      <c r="J270" s="298" t="n"/>
      <c r="L270" s="298" t="n"/>
      <c r="N270" s="298" t="n"/>
    </row>
    <row r="271">
      <c r="F271" s="298" t="n"/>
      <c r="H271" s="298" t="n"/>
      <c r="J271" s="298" t="n"/>
      <c r="L271" s="298" t="n"/>
      <c r="N271" s="298" t="n"/>
    </row>
    <row r="272">
      <c r="F272" s="298" t="n"/>
      <c r="H272" s="298" t="n"/>
      <c r="J272" s="298" t="n"/>
      <c r="L272" s="298" t="n"/>
      <c r="N272" s="298" t="n"/>
    </row>
    <row r="273">
      <c r="F273" s="298" t="n"/>
      <c r="H273" s="298" t="n"/>
      <c r="J273" s="298" t="n"/>
      <c r="L273" s="298" t="n"/>
      <c r="N273" s="298" t="n"/>
    </row>
    <row r="274">
      <c r="F274" s="298" t="n"/>
      <c r="H274" s="298" t="n"/>
      <c r="J274" s="298" t="n"/>
      <c r="L274" s="298" t="n"/>
      <c r="N274" s="298" t="n"/>
    </row>
    <row r="275">
      <c r="F275" s="298" t="n"/>
      <c r="H275" s="298" t="n"/>
      <c r="J275" s="298" t="n"/>
      <c r="L275" s="298" t="n"/>
      <c r="N275" s="298" t="n"/>
    </row>
    <row r="276">
      <c r="F276" s="298" t="n"/>
      <c r="H276" s="298" t="n"/>
      <c r="J276" s="298" t="n"/>
      <c r="L276" s="298" t="n"/>
      <c r="N276" s="298" t="n"/>
    </row>
    <row r="277">
      <c r="F277" s="298" t="n"/>
      <c r="H277" s="298" t="n"/>
      <c r="J277" s="298" t="n"/>
      <c r="L277" s="298" t="n"/>
      <c r="N277" s="298" t="n"/>
    </row>
    <row r="278">
      <c r="F278" s="298" t="n"/>
      <c r="H278" s="298" t="n"/>
      <c r="J278" s="298" t="n"/>
      <c r="L278" s="298" t="n"/>
      <c r="N278" s="298" t="n"/>
    </row>
    <row r="279">
      <c r="F279" s="298" t="n"/>
      <c r="H279" s="298" t="n"/>
      <c r="J279" s="298" t="n"/>
      <c r="L279" s="298" t="n"/>
      <c r="N279" s="298" t="n"/>
    </row>
    <row r="280">
      <c r="F280" s="298" t="n"/>
      <c r="H280" s="298" t="n"/>
      <c r="J280" s="298" t="n"/>
      <c r="L280" s="298" t="n"/>
      <c r="N280" s="298" t="n"/>
    </row>
    <row r="281">
      <c r="F281" s="298" t="n"/>
      <c r="H281" s="298" t="n"/>
      <c r="J281" s="298" t="n"/>
      <c r="L281" s="298" t="n"/>
      <c r="N281" s="298" t="n"/>
    </row>
    <row r="282">
      <c r="F282" s="298" t="n"/>
      <c r="H282" s="298" t="n"/>
      <c r="J282" s="298" t="n"/>
      <c r="L282" s="298" t="n"/>
      <c r="N282" s="298" t="n"/>
    </row>
    <row r="283">
      <c r="F283" s="298" t="n"/>
      <c r="H283" s="298" t="n"/>
      <c r="J283" s="298" t="n"/>
      <c r="L283" s="298" t="n"/>
      <c r="N283" s="298" t="n"/>
    </row>
    <row r="284">
      <c r="F284" s="298" t="n"/>
      <c r="H284" s="298" t="n"/>
      <c r="J284" s="298" t="n"/>
      <c r="L284" s="298" t="n"/>
      <c r="N284" s="298" t="n"/>
    </row>
    <row r="285">
      <c r="F285" s="298" t="n"/>
      <c r="H285" s="298" t="n"/>
      <c r="J285" s="298" t="n"/>
      <c r="L285" s="298" t="n"/>
      <c r="N285" s="298" t="n"/>
    </row>
    <row r="286">
      <c r="F286" s="298" t="n"/>
      <c r="H286" s="298" t="n"/>
      <c r="J286" s="298" t="n"/>
      <c r="L286" s="298" t="n"/>
      <c r="N286" s="298" t="n"/>
    </row>
    <row r="287">
      <c r="F287" s="298" t="n"/>
      <c r="H287" s="298" t="n"/>
      <c r="J287" s="298" t="n"/>
      <c r="L287" s="298" t="n"/>
      <c r="N287" s="298" t="n"/>
    </row>
    <row r="288">
      <c r="F288" s="298" t="n"/>
      <c r="H288" s="298" t="n"/>
      <c r="J288" s="298" t="n"/>
      <c r="L288" s="298" t="n"/>
      <c r="N288" s="298" t="n"/>
    </row>
    <row r="289">
      <c r="F289" s="298" t="n"/>
      <c r="H289" s="298" t="n"/>
      <c r="J289" s="298" t="n"/>
      <c r="L289" s="298" t="n"/>
      <c r="N289" s="298" t="n"/>
    </row>
    <row r="290">
      <c r="F290" s="298" t="n"/>
      <c r="H290" s="298" t="n"/>
      <c r="J290" s="298" t="n"/>
      <c r="L290" s="298" t="n"/>
      <c r="N290" s="298" t="n"/>
    </row>
    <row r="291">
      <c r="F291" s="298" t="n"/>
      <c r="H291" s="298" t="n"/>
      <c r="J291" s="298" t="n"/>
      <c r="L291" s="298" t="n"/>
      <c r="N291" s="298" t="n"/>
    </row>
    <row r="292">
      <c r="F292" s="298" t="n"/>
      <c r="H292" s="298" t="n"/>
      <c r="J292" s="298" t="n"/>
      <c r="L292" s="298" t="n"/>
      <c r="N292" s="298" t="n"/>
    </row>
    <row r="293">
      <c r="F293" s="298" t="n"/>
      <c r="H293" s="298" t="n"/>
      <c r="J293" s="298" t="n"/>
      <c r="L293" s="298" t="n"/>
      <c r="N293" s="298" t="n"/>
    </row>
    <row r="294">
      <c r="F294" s="298" t="n"/>
      <c r="H294" s="298" t="n"/>
      <c r="J294" s="298" t="n"/>
      <c r="L294" s="298" t="n"/>
      <c r="N294" s="298" t="n"/>
    </row>
    <row r="295">
      <c r="F295" s="298" t="n"/>
      <c r="H295" s="298" t="n"/>
      <c r="J295" s="298" t="n"/>
      <c r="L295" s="298" t="n"/>
      <c r="N295" s="298" t="n"/>
    </row>
    <row r="296">
      <c r="F296" s="298" t="n"/>
      <c r="H296" s="298" t="n"/>
      <c r="J296" s="298" t="n"/>
      <c r="L296" s="298" t="n"/>
      <c r="N296" s="298" t="n"/>
    </row>
    <row r="297">
      <c r="F297" s="298" t="n"/>
      <c r="H297" s="298" t="n"/>
      <c r="J297" s="298" t="n"/>
      <c r="L297" s="298" t="n"/>
      <c r="N297" s="298" t="n"/>
    </row>
    <row r="298">
      <c r="F298" s="298" t="n"/>
      <c r="H298" s="298" t="n"/>
      <c r="J298" s="298" t="n"/>
      <c r="L298" s="298" t="n"/>
      <c r="N298" s="298" t="n"/>
    </row>
    <row r="299">
      <c r="F299" s="298" t="n"/>
      <c r="H299" s="298" t="n"/>
      <c r="J299" s="298" t="n"/>
      <c r="L299" s="298" t="n"/>
      <c r="N299" s="298" t="n"/>
    </row>
    <row r="300">
      <c r="F300" s="298" t="n"/>
      <c r="H300" s="298" t="n"/>
      <c r="J300" s="298" t="n"/>
      <c r="L300" s="298" t="n"/>
      <c r="N300" s="298" t="n"/>
    </row>
    <row r="301">
      <c r="F301" s="298" t="n"/>
      <c r="H301" s="298" t="n"/>
      <c r="J301" s="298" t="n"/>
      <c r="L301" s="298" t="n"/>
      <c r="N301" s="298" t="n"/>
    </row>
    <row r="302">
      <c r="F302" s="298" t="n"/>
      <c r="H302" s="298" t="n"/>
      <c r="J302" s="298" t="n"/>
      <c r="L302" s="298" t="n"/>
      <c r="N302" s="298" t="n"/>
    </row>
    <row r="303">
      <c r="F303" s="298" t="n"/>
      <c r="H303" s="298" t="n"/>
      <c r="J303" s="298" t="n"/>
      <c r="L303" s="298" t="n"/>
      <c r="N303" s="298" t="n"/>
    </row>
    <row r="304">
      <c r="F304" s="298" t="n"/>
      <c r="H304" s="298" t="n"/>
      <c r="J304" s="298" t="n"/>
      <c r="L304" s="298" t="n"/>
      <c r="N304" s="298" t="n"/>
    </row>
    <row r="305">
      <c r="F305" s="298" t="n"/>
      <c r="H305" s="298" t="n"/>
      <c r="J305" s="298" t="n"/>
      <c r="L305" s="298" t="n"/>
      <c r="N305" s="298" t="n"/>
    </row>
    <row r="306">
      <c r="F306" s="298" t="n"/>
      <c r="H306" s="298" t="n"/>
      <c r="J306" s="298" t="n"/>
      <c r="L306" s="298" t="n"/>
      <c r="N306" s="298" t="n"/>
    </row>
    <row r="307">
      <c r="F307" s="298" t="n"/>
      <c r="H307" s="298" t="n"/>
      <c r="J307" s="298" t="n"/>
      <c r="L307" s="298" t="n"/>
      <c r="N307" s="298" t="n"/>
    </row>
    <row r="308">
      <c r="F308" s="298" t="n"/>
      <c r="H308" s="298" t="n"/>
      <c r="J308" s="298" t="n"/>
      <c r="L308" s="298" t="n"/>
      <c r="N308" s="298" t="n"/>
    </row>
    <row r="309">
      <c r="F309" s="298" t="n"/>
      <c r="H309" s="298" t="n"/>
      <c r="J309" s="298" t="n"/>
      <c r="L309" s="298" t="n"/>
      <c r="N309" s="298" t="n"/>
    </row>
    <row r="310">
      <c r="F310" s="298" t="n"/>
      <c r="H310" s="298" t="n"/>
      <c r="J310" s="298" t="n"/>
      <c r="L310" s="298" t="n"/>
      <c r="N310" s="298" t="n"/>
    </row>
    <row r="311">
      <c r="F311" s="298" t="n"/>
      <c r="H311" s="298" t="n"/>
      <c r="J311" s="298" t="n"/>
      <c r="L311" s="298" t="n"/>
      <c r="N311" s="298" t="n"/>
    </row>
    <row r="312">
      <c r="F312" s="298" t="n"/>
      <c r="H312" s="298" t="n"/>
      <c r="J312" s="298" t="n"/>
      <c r="L312" s="298" t="n"/>
      <c r="N312" s="298" t="n"/>
    </row>
    <row r="313">
      <c r="F313" s="298" t="n"/>
      <c r="H313" s="298" t="n"/>
      <c r="J313" s="298" t="n"/>
      <c r="L313" s="298" t="n"/>
      <c r="N313" s="298" t="n"/>
    </row>
    <row r="314">
      <c r="F314" s="298" t="n"/>
      <c r="H314" s="298" t="n"/>
      <c r="J314" s="298" t="n"/>
      <c r="L314" s="298" t="n"/>
      <c r="N314" s="298" t="n"/>
    </row>
    <row r="315">
      <c r="F315" s="298" t="n"/>
      <c r="H315" s="298" t="n"/>
      <c r="J315" s="298" t="n"/>
      <c r="L315" s="298" t="n"/>
      <c r="N315" s="298" t="n"/>
    </row>
    <row r="316">
      <c r="F316" s="298" t="n"/>
      <c r="H316" s="298" t="n"/>
      <c r="J316" s="298" t="n"/>
      <c r="L316" s="298" t="n"/>
      <c r="N316" s="298" t="n"/>
    </row>
    <row r="317">
      <c r="F317" s="298" t="n"/>
      <c r="H317" s="298" t="n"/>
      <c r="J317" s="298" t="n"/>
      <c r="L317" s="298" t="n"/>
      <c r="N317" s="298" t="n"/>
    </row>
    <row r="318">
      <c r="F318" s="298" t="n"/>
      <c r="H318" s="298" t="n"/>
      <c r="J318" s="298" t="n"/>
      <c r="L318" s="298" t="n"/>
      <c r="N318" s="298" t="n"/>
    </row>
    <row r="319">
      <c r="F319" s="298" t="n"/>
      <c r="H319" s="298" t="n"/>
      <c r="J319" s="298" t="n"/>
      <c r="L319" s="298" t="n"/>
      <c r="N319" s="298" t="n"/>
    </row>
    <row r="320">
      <c r="F320" s="298" t="n"/>
      <c r="H320" s="298" t="n"/>
      <c r="J320" s="298" t="n"/>
      <c r="L320" s="298" t="n"/>
      <c r="N320" s="298" t="n"/>
    </row>
    <row r="321">
      <c r="F321" s="298" t="n"/>
      <c r="H321" s="298" t="n"/>
      <c r="J321" s="298" t="n"/>
      <c r="L321" s="298" t="n"/>
      <c r="N321" s="298" t="n"/>
    </row>
    <row r="322">
      <c r="F322" s="298" t="n"/>
      <c r="H322" s="298" t="n"/>
      <c r="J322" s="298" t="n"/>
      <c r="L322" s="298" t="n"/>
      <c r="N322" s="298" t="n"/>
    </row>
    <row r="323">
      <c r="F323" s="298" t="n"/>
      <c r="H323" s="298" t="n"/>
      <c r="J323" s="298" t="n"/>
      <c r="L323" s="298" t="n"/>
      <c r="N323" s="298" t="n"/>
    </row>
    <row r="324">
      <c r="F324" s="298" t="n"/>
      <c r="H324" s="298" t="n"/>
      <c r="J324" s="298" t="n"/>
      <c r="L324" s="298" t="n"/>
      <c r="N324" s="298" t="n"/>
    </row>
    <row r="325">
      <c r="F325" s="298" t="n"/>
      <c r="H325" s="298" t="n"/>
      <c r="J325" s="298" t="n"/>
      <c r="L325" s="298" t="n"/>
      <c r="N325" s="298" t="n"/>
    </row>
    <row r="326">
      <c r="F326" s="298" t="n"/>
      <c r="H326" s="298" t="n"/>
      <c r="J326" s="298" t="n"/>
      <c r="L326" s="298" t="n"/>
      <c r="N326" s="298" t="n"/>
    </row>
    <row r="327">
      <c r="F327" s="298" t="n"/>
      <c r="H327" s="298" t="n"/>
      <c r="J327" s="298" t="n"/>
      <c r="L327" s="298" t="n"/>
      <c r="N327" s="298" t="n"/>
    </row>
    <row r="328">
      <c r="F328" s="298" t="n"/>
      <c r="H328" s="298" t="n"/>
      <c r="J328" s="298" t="n"/>
      <c r="L328" s="298" t="n"/>
      <c r="N328" s="298" t="n"/>
    </row>
    <row r="329">
      <c r="F329" s="298" t="n"/>
      <c r="H329" s="298" t="n"/>
      <c r="J329" s="298" t="n"/>
      <c r="L329" s="298" t="n"/>
      <c r="N329" s="298" t="n"/>
    </row>
    <row r="330">
      <c r="F330" s="298" t="n"/>
      <c r="H330" s="298" t="n"/>
      <c r="J330" s="298" t="n"/>
      <c r="L330" s="298" t="n"/>
      <c r="N330" s="298" t="n"/>
    </row>
    <row r="331">
      <c r="F331" s="298" t="n"/>
      <c r="H331" s="298" t="n"/>
      <c r="J331" s="298" t="n"/>
      <c r="L331" s="298" t="n"/>
      <c r="N331" s="298" t="n"/>
    </row>
    <row r="332">
      <c r="F332" s="298" t="n"/>
      <c r="H332" s="298" t="n"/>
      <c r="J332" s="298" t="n"/>
      <c r="L332" s="298" t="n"/>
      <c r="N332" s="298" t="n"/>
    </row>
    <row r="333">
      <c r="F333" s="298" t="n"/>
      <c r="H333" s="298" t="n"/>
      <c r="J333" s="298" t="n"/>
      <c r="L333" s="298" t="n"/>
      <c r="N333" s="298" t="n"/>
    </row>
    <row r="334">
      <c r="F334" s="298" t="n"/>
      <c r="H334" s="298" t="n"/>
      <c r="J334" s="298" t="n"/>
      <c r="L334" s="298" t="n"/>
      <c r="N334" s="298" t="n"/>
    </row>
    <row r="335">
      <c r="F335" s="298" t="n"/>
      <c r="H335" s="298" t="n"/>
      <c r="J335" s="298" t="n"/>
      <c r="L335" s="298" t="n"/>
      <c r="N335" s="298" t="n"/>
    </row>
    <row r="336">
      <c r="F336" s="298" t="n"/>
      <c r="H336" s="298" t="n"/>
      <c r="J336" s="298" t="n"/>
      <c r="L336" s="298" t="n"/>
      <c r="N336" s="298" t="n"/>
    </row>
    <row r="337">
      <c r="F337" s="298" t="n"/>
      <c r="H337" s="298" t="n"/>
      <c r="J337" s="298" t="n"/>
      <c r="L337" s="298" t="n"/>
      <c r="N337" s="298" t="n"/>
    </row>
    <row r="338">
      <c r="F338" s="298" t="n"/>
      <c r="H338" s="298" t="n"/>
      <c r="J338" s="298" t="n"/>
      <c r="L338" s="298" t="n"/>
      <c r="N338" s="298" t="n"/>
    </row>
    <row r="339">
      <c r="F339" s="298" t="n"/>
      <c r="H339" s="298" t="n"/>
      <c r="J339" s="298" t="n"/>
      <c r="L339" s="298" t="n"/>
      <c r="N339" s="298" t="n"/>
    </row>
    <row r="340">
      <c r="F340" s="298" t="n"/>
      <c r="H340" s="298" t="n"/>
      <c r="J340" s="298" t="n"/>
      <c r="L340" s="298" t="n"/>
      <c r="N340" s="298" t="n"/>
    </row>
    <row r="341">
      <c r="F341" s="298" t="n"/>
      <c r="H341" s="298" t="n"/>
      <c r="J341" s="298" t="n"/>
      <c r="L341" s="298" t="n"/>
      <c r="N341" s="298" t="n"/>
    </row>
    <row r="342">
      <c r="F342" s="298" t="n"/>
      <c r="H342" s="298" t="n"/>
      <c r="J342" s="298" t="n"/>
      <c r="L342" s="298" t="n"/>
      <c r="N342" s="298" t="n"/>
    </row>
    <row r="343">
      <c r="F343" s="298" t="n"/>
      <c r="H343" s="298" t="n"/>
      <c r="J343" s="298" t="n"/>
      <c r="L343" s="298" t="n"/>
      <c r="N343" s="298" t="n"/>
    </row>
    <row r="344">
      <c r="F344" s="298" t="n"/>
      <c r="H344" s="298" t="n"/>
      <c r="J344" s="298" t="n"/>
      <c r="L344" s="298" t="n"/>
      <c r="N344" s="298" t="n"/>
    </row>
    <row r="345">
      <c r="F345" s="298" t="n"/>
      <c r="H345" s="298" t="n"/>
      <c r="J345" s="298" t="n"/>
      <c r="L345" s="298" t="n"/>
      <c r="N345" s="298" t="n"/>
    </row>
    <row r="346">
      <c r="F346" s="298" t="n"/>
      <c r="H346" s="298" t="n"/>
      <c r="J346" s="298" t="n"/>
      <c r="L346" s="298" t="n"/>
      <c r="N346" s="298" t="n"/>
    </row>
    <row r="347">
      <c r="F347" s="298" t="n"/>
      <c r="H347" s="298" t="n"/>
      <c r="J347" s="298" t="n"/>
      <c r="L347" s="298" t="n"/>
      <c r="N347" s="298" t="n"/>
    </row>
    <row r="348">
      <c r="F348" s="298" t="n"/>
      <c r="H348" s="298" t="n"/>
      <c r="J348" s="298" t="n"/>
      <c r="L348" s="298" t="n"/>
      <c r="N348" s="298" t="n"/>
    </row>
    <row r="349">
      <c r="F349" s="298" t="n"/>
      <c r="H349" s="298" t="n"/>
      <c r="J349" s="298" t="n"/>
      <c r="L349" s="298" t="n"/>
      <c r="N349" s="298" t="n"/>
    </row>
    <row r="350">
      <c r="F350" s="298" t="n"/>
      <c r="H350" s="298" t="n"/>
      <c r="J350" s="298" t="n"/>
      <c r="L350" s="298" t="n"/>
      <c r="N350" s="298" t="n"/>
    </row>
    <row r="351">
      <c r="F351" s="298" t="n"/>
      <c r="H351" s="298" t="n"/>
      <c r="J351" s="298" t="n"/>
      <c r="L351" s="298" t="n"/>
      <c r="N351" s="298" t="n"/>
    </row>
    <row r="352">
      <c r="F352" s="298" t="n"/>
      <c r="H352" s="298" t="n"/>
      <c r="J352" s="298" t="n"/>
      <c r="L352" s="298" t="n"/>
      <c r="N352" s="298" t="n"/>
    </row>
    <row r="353">
      <c r="F353" s="298" t="n"/>
      <c r="H353" s="298" t="n"/>
      <c r="J353" s="298" t="n"/>
      <c r="L353" s="298" t="n"/>
      <c r="N353" s="298" t="n"/>
    </row>
    <row r="354">
      <c r="F354" s="298" t="n"/>
      <c r="H354" s="298" t="n"/>
      <c r="J354" s="298" t="n"/>
      <c r="L354" s="298" t="n"/>
      <c r="N354" s="298" t="n"/>
    </row>
    <row r="355">
      <c r="F355" s="298" t="n"/>
      <c r="H355" s="298" t="n"/>
      <c r="J355" s="298" t="n"/>
      <c r="L355" s="298" t="n"/>
      <c r="N355" s="298" t="n"/>
    </row>
    <row r="356">
      <c r="F356" s="298" t="n"/>
      <c r="H356" s="298" t="n"/>
      <c r="J356" s="298" t="n"/>
      <c r="L356" s="298" t="n"/>
      <c r="N356" s="298" t="n"/>
    </row>
    <row r="357">
      <c r="F357" s="298" t="n"/>
      <c r="H357" s="298" t="n"/>
      <c r="J357" s="298" t="n"/>
      <c r="L357" s="298" t="n"/>
      <c r="N357" s="298" t="n"/>
    </row>
    <row r="358">
      <c r="F358" s="298" t="n"/>
      <c r="H358" s="298" t="n"/>
      <c r="J358" s="298" t="n"/>
      <c r="L358" s="298" t="n"/>
      <c r="N358" s="298" t="n"/>
    </row>
    <row r="359">
      <c r="F359" s="298" t="n"/>
      <c r="H359" s="298" t="n"/>
      <c r="J359" s="298" t="n"/>
      <c r="L359" s="298" t="n"/>
      <c r="N359" s="298" t="n"/>
    </row>
    <row r="360">
      <c r="F360" s="298" t="n"/>
      <c r="H360" s="298" t="n"/>
      <c r="J360" s="298" t="n"/>
      <c r="L360" s="298" t="n"/>
      <c r="N360" s="298" t="n"/>
    </row>
    <row r="361">
      <c r="F361" s="298" t="n"/>
      <c r="H361" s="298" t="n"/>
      <c r="J361" s="298" t="n"/>
      <c r="L361" s="298" t="n"/>
      <c r="N361" s="298" t="n"/>
    </row>
    <row r="362">
      <c r="F362" s="298" t="n"/>
      <c r="H362" s="298" t="n"/>
      <c r="J362" s="298" t="n"/>
      <c r="L362" s="298" t="n"/>
      <c r="N362" s="298" t="n"/>
    </row>
    <row r="363">
      <c r="F363" s="298" t="n"/>
      <c r="H363" s="298" t="n"/>
      <c r="J363" s="298" t="n"/>
      <c r="L363" s="298" t="n"/>
      <c r="N363" s="298" t="n"/>
    </row>
    <row r="364">
      <c r="F364" s="298" t="n"/>
      <c r="H364" s="298" t="n"/>
      <c r="J364" s="298" t="n"/>
      <c r="L364" s="298" t="n"/>
      <c r="N364" s="298" t="n"/>
    </row>
    <row r="365">
      <c r="F365" s="298" t="n"/>
      <c r="H365" s="298" t="n"/>
      <c r="J365" s="298" t="n"/>
      <c r="L365" s="298" t="n"/>
      <c r="N365" s="298" t="n"/>
    </row>
    <row r="366">
      <c r="F366" s="298" t="n"/>
      <c r="H366" s="298" t="n"/>
      <c r="J366" s="298" t="n"/>
      <c r="L366" s="298" t="n"/>
      <c r="N366" s="298" t="n"/>
    </row>
    <row r="367">
      <c r="F367" s="298" t="n"/>
      <c r="H367" s="298" t="n"/>
      <c r="J367" s="298" t="n"/>
      <c r="L367" s="298" t="n"/>
      <c r="N367" s="298" t="n"/>
    </row>
    <row r="368">
      <c r="F368" s="298" t="n"/>
      <c r="H368" s="298" t="n"/>
      <c r="J368" s="298" t="n"/>
      <c r="L368" s="298" t="n"/>
      <c r="N368" s="298" t="n"/>
    </row>
    <row r="369">
      <c r="F369" s="298" t="n"/>
      <c r="H369" s="298" t="n"/>
      <c r="J369" s="298" t="n"/>
      <c r="L369" s="298" t="n"/>
      <c r="N369" s="298" t="n"/>
    </row>
    <row r="370">
      <c r="F370" s="298" t="n"/>
      <c r="H370" s="298" t="n"/>
      <c r="J370" s="298" t="n"/>
      <c r="L370" s="298" t="n"/>
      <c r="N370" s="298" t="n"/>
    </row>
    <row r="371">
      <c r="F371" s="298" t="n"/>
      <c r="H371" s="298" t="n"/>
      <c r="J371" s="298" t="n"/>
      <c r="L371" s="298" t="n"/>
      <c r="N371" s="298" t="n"/>
    </row>
    <row r="372">
      <c r="F372" s="298" t="n"/>
      <c r="H372" s="298" t="n"/>
      <c r="J372" s="298" t="n"/>
      <c r="L372" s="298" t="n"/>
      <c r="N372" s="298" t="n"/>
    </row>
    <row r="373">
      <c r="F373" s="298" t="n"/>
      <c r="H373" s="298" t="n"/>
      <c r="J373" s="298" t="n"/>
      <c r="L373" s="298" t="n"/>
      <c r="N373" s="298" t="n"/>
    </row>
    <row r="374">
      <c r="F374" s="298" t="n"/>
      <c r="H374" s="298" t="n"/>
      <c r="J374" s="298" t="n"/>
      <c r="L374" s="298" t="n"/>
      <c r="N374" s="298" t="n"/>
    </row>
    <row r="375">
      <c r="F375" s="298" t="n"/>
      <c r="H375" s="298" t="n"/>
      <c r="J375" s="298" t="n"/>
      <c r="L375" s="298" t="n"/>
      <c r="N375" s="298" t="n"/>
    </row>
    <row r="376">
      <c r="F376" s="298" t="n"/>
      <c r="H376" s="298" t="n"/>
      <c r="J376" s="298" t="n"/>
      <c r="L376" s="298" t="n"/>
      <c r="N376" s="298" t="n"/>
    </row>
    <row r="377">
      <c r="F377" s="298" t="n"/>
      <c r="H377" s="298" t="n"/>
      <c r="J377" s="298" t="n"/>
      <c r="L377" s="298" t="n"/>
      <c r="N377" s="298" t="n"/>
    </row>
    <row r="378">
      <c r="F378" s="298" t="n"/>
      <c r="H378" s="298" t="n"/>
      <c r="J378" s="298" t="n"/>
      <c r="L378" s="298" t="n"/>
      <c r="N378" s="298" t="n"/>
    </row>
    <row r="379">
      <c r="F379" s="298" t="n"/>
      <c r="H379" s="298" t="n"/>
      <c r="J379" s="298" t="n"/>
      <c r="L379" s="298" t="n"/>
      <c r="N379" s="298" t="n"/>
    </row>
    <row r="380">
      <c r="F380" s="298" t="n"/>
      <c r="H380" s="298" t="n"/>
      <c r="J380" s="298" t="n"/>
      <c r="L380" s="298" t="n"/>
      <c r="N380" s="298" t="n"/>
    </row>
    <row r="381">
      <c r="F381" s="298" t="n"/>
      <c r="H381" s="298" t="n"/>
      <c r="J381" s="298" t="n"/>
      <c r="L381" s="298" t="n"/>
      <c r="N381" s="298" t="n"/>
    </row>
    <row r="382">
      <c r="F382" s="298" t="n"/>
      <c r="H382" s="298" t="n"/>
      <c r="J382" s="298" t="n"/>
      <c r="L382" s="298" t="n"/>
      <c r="N382" s="298" t="n"/>
    </row>
    <row r="383">
      <c r="F383" s="298" t="n"/>
      <c r="H383" s="298" t="n"/>
      <c r="J383" s="298" t="n"/>
      <c r="L383" s="298" t="n"/>
      <c r="N383" s="298" t="n"/>
    </row>
    <row r="384">
      <c r="F384" s="298" t="n"/>
      <c r="H384" s="298" t="n"/>
      <c r="J384" s="298" t="n"/>
      <c r="L384" s="298" t="n"/>
      <c r="N384" s="298" t="n"/>
    </row>
    <row r="385">
      <c r="F385" s="298" t="n"/>
      <c r="H385" s="298" t="n"/>
      <c r="J385" s="298" t="n"/>
      <c r="L385" s="298" t="n"/>
      <c r="N385" s="298" t="n"/>
    </row>
    <row r="386">
      <c r="F386" s="298" t="n"/>
      <c r="H386" s="298" t="n"/>
      <c r="J386" s="298" t="n"/>
      <c r="L386" s="298" t="n"/>
      <c r="N386" s="298" t="n"/>
    </row>
    <row r="387">
      <c r="F387" s="298" t="n"/>
      <c r="H387" s="298" t="n"/>
      <c r="J387" s="298" t="n"/>
      <c r="L387" s="298" t="n"/>
      <c r="N387" s="298" t="n"/>
    </row>
    <row r="388">
      <c r="F388" s="298" t="n"/>
      <c r="H388" s="298" t="n"/>
      <c r="J388" s="298" t="n"/>
      <c r="L388" s="298" t="n"/>
      <c r="N388" s="298" t="n"/>
    </row>
    <row r="389">
      <c r="F389" s="298" t="n"/>
      <c r="H389" s="298" t="n"/>
      <c r="J389" s="298" t="n"/>
      <c r="L389" s="298" t="n"/>
      <c r="N389" s="298" t="n"/>
    </row>
    <row r="390">
      <c r="F390" s="298" t="n"/>
      <c r="H390" s="298" t="n"/>
      <c r="J390" s="298" t="n"/>
      <c r="L390" s="298" t="n"/>
      <c r="N390" s="298" t="n"/>
    </row>
    <row r="391">
      <c r="F391" s="298" t="n"/>
      <c r="H391" s="298" t="n"/>
      <c r="J391" s="298" t="n"/>
      <c r="L391" s="298" t="n"/>
      <c r="N391" s="298" t="n"/>
    </row>
    <row r="392">
      <c r="F392" s="298" t="n"/>
      <c r="H392" s="298" t="n"/>
      <c r="J392" s="298" t="n"/>
      <c r="L392" s="298" t="n"/>
      <c r="N392" s="298" t="n"/>
    </row>
    <row r="393">
      <c r="F393" s="298" t="n"/>
      <c r="H393" s="298" t="n"/>
      <c r="J393" s="298" t="n"/>
      <c r="L393" s="298" t="n"/>
      <c r="N393" s="298" t="n"/>
    </row>
    <row r="394">
      <c r="F394" s="298" t="n"/>
      <c r="H394" s="298" t="n"/>
      <c r="J394" s="298" t="n"/>
      <c r="L394" s="298" t="n"/>
      <c r="N394" s="298" t="n"/>
    </row>
    <row r="395">
      <c r="F395" s="298" t="n"/>
      <c r="H395" s="298" t="n"/>
      <c r="J395" s="298" t="n"/>
      <c r="L395" s="298" t="n"/>
      <c r="N395" s="298" t="n"/>
    </row>
    <row r="396">
      <c r="F396" s="298" t="n"/>
      <c r="H396" s="298" t="n"/>
      <c r="J396" s="298" t="n"/>
      <c r="L396" s="298" t="n"/>
      <c r="N396" s="298" t="n"/>
    </row>
    <row r="397">
      <c r="F397" s="298" t="n"/>
      <c r="H397" s="298" t="n"/>
      <c r="J397" s="298" t="n"/>
      <c r="L397" s="298" t="n"/>
      <c r="N397" s="298" t="n"/>
    </row>
    <row r="398">
      <c r="F398" s="298" t="n"/>
      <c r="H398" s="298" t="n"/>
      <c r="J398" s="298" t="n"/>
      <c r="L398" s="298" t="n"/>
      <c r="N398" s="298" t="n"/>
    </row>
    <row r="399">
      <c r="F399" s="298" t="n"/>
      <c r="H399" s="298" t="n"/>
      <c r="J399" s="298" t="n"/>
      <c r="L399" s="298" t="n"/>
      <c r="N399" s="298" t="n"/>
    </row>
    <row r="400">
      <c r="F400" s="298" t="n"/>
      <c r="H400" s="298" t="n"/>
      <c r="J400" s="298" t="n"/>
      <c r="L400" s="298" t="n"/>
      <c r="N400" s="298" t="n"/>
    </row>
    <row r="401">
      <c r="F401" s="298" t="n"/>
      <c r="H401" s="298" t="n"/>
      <c r="J401" s="298" t="n"/>
      <c r="L401" s="298" t="n"/>
      <c r="N401" s="298" t="n"/>
    </row>
    <row r="402">
      <c r="F402" s="298" t="n"/>
      <c r="H402" s="298" t="n"/>
      <c r="J402" s="298" t="n"/>
      <c r="L402" s="298" t="n"/>
      <c r="N402" s="298" t="n"/>
    </row>
    <row r="403">
      <c r="F403" s="298" t="n"/>
      <c r="H403" s="298" t="n"/>
      <c r="J403" s="298" t="n"/>
      <c r="L403" s="298" t="n"/>
      <c r="N403" s="298" t="n"/>
    </row>
    <row r="404">
      <c r="F404" s="298" t="n"/>
      <c r="H404" s="298" t="n"/>
      <c r="J404" s="298" t="n"/>
      <c r="L404" s="298" t="n"/>
      <c r="N404" s="298" t="n"/>
    </row>
    <row r="405">
      <c r="F405" s="298" t="n"/>
      <c r="H405" s="298" t="n"/>
      <c r="J405" s="298" t="n"/>
      <c r="L405" s="298" t="n"/>
      <c r="N405" s="298" t="n"/>
    </row>
    <row r="406">
      <c r="F406" s="298" t="n"/>
      <c r="H406" s="298" t="n"/>
      <c r="J406" s="298" t="n"/>
      <c r="L406" s="298" t="n"/>
      <c r="N406" s="298" t="n"/>
    </row>
    <row r="407">
      <c r="F407" s="298" t="n"/>
      <c r="H407" s="298" t="n"/>
      <c r="J407" s="298" t="n"/>
      <c r="L407" s="298" t="n"/>
      <c r="N407" s="298" t="n"/>
    </row>
    <row r="408">
      <c r="F408" s="298" t="n"/>
      <c r="H408" s="298" t="n"/>
      <c r="J408" s="298" t="n"/>
      <c r="L408" s="298" t="n"/>
      <c r="N408" s="298" t="n"/>
    </row>
    <row r="409">
      <c r="F409" s="298" t="n"/>
      <c r="H409" s="298" t="n"/>
      <c r="J409" s="298" t="n"/>
      <c r="L409" s="298" t="n"/>
      <c r="N409" s="298" t="n"/>
    </row>
    <row r="410">
      <c r="F410" s="298" t="n"/>
      <c r="H410" s="298" t="n"/>
      <c r="J410" s="298" t="n"/>
      <c r="L410" s="298" t="n"/>
      <c r="N410" s="298" t="n"/>
    </row>
    <row r="411">
      <c r="F411" s="298" t="n"/>
      <c r="H411" s="298" t="n"/>
      <c r="J411" s="298" t="n"/>
      <c r="L411" s="298" t="n"/>
      <c r="N411" s="298" t="n"/>
    </row>
    <row r="412">
      <c r="F412" s="298" t="n"/>
      <c r="H412" s="298" t="n"/>
      <c r="J412" s="298" t="n"/>
      <c r="L412" s="298" t="n"/>
      <c r="N412" s="298" t="n"/>
    </row>
    <row r="413">
      <c r="F413" s="298" t="n"/>
      <c r="H413" s="298" t="n"/>
      <c r="J413" s="298" t="n"/>
      <c r="L413" s="298" t="n"/>
      <c r="N413" s="298" t="n"/>
    </row>
    <row r="414">
      <c r="F414" s="298" t="n"/>
      <c r="H414" s="298" t="n"/>
      <c r="J414" s="298" t="n"/>
      <c r="L414" s="298" t="n"/>
      <c r="N414" s="298" t="n"/>
    </row>
    <row r="415">
      <c r="F415" s="298" t="n"/>
      <c r="H415" s="298" t="n"/>
      <c r="J415" s="298" t="n"/>
      <c r="L415" s="298" t="n"/>
      <c r="N415" s="298" t="n"/>
    </row>
    <row r="416">
      <c r="F416" s="298" t="n"/>
      <c r="H416" s="298" t="n"/>
      <c r="J416" s="298" t="n"/>
      <c r="L416" s="298" t="n"/>
      <c r="N416" s="29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Corporation</dc:creator>
  <dcterms:created xmlns:dcterms="http://purl.org/dc/terms/" xmlns:xsi="http://www.w3.org/2001/XMLSchema-instance" xsi:type="dcterms:W3CDTF">1999-05-26T11:21:22Z</dcterms:created>
  <dcterms:modified xmlns:dcterms="http://purl.org/dc/terms/" xmlns:xsi="http://www.w3.org/2001/XMLSchema-instance" xsi:type="dcterms:W3CDTF">2026-08-08T20:34:11Z</dcterms:modified>
  <cp:lastModifiedBy>Mustafa Zor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0x010100B2C5890290494142ABFC7FD15EB3D6E7</vt:lpwstr>
  </property>
  <property name="MSIP_Label_f1a6301f-2f2b-4a88-962b-d8e8d8e6eaec_Enabled" fmtid="{D5CDD505-2E9C-101B-9397-08002B2CF9AE}" pid="3">
    <vt:lpwstr xmlns:vt="http://schemas.openxmlformats.org/officeDocument/2006/docPropsVTypes">true</vt:lpwstr>
  </property>
  <property name="MSIP_Label_f1a6301f-2f2b-4a88-962b-d8e8d8e6eaec_SetDate" fmtid="{D5CDD505-2E9C-101B-9397-08002B2CF9AE}" pid="4">
    <vt:lpwstr xmlns:vt="http://schemas.openxmlformats.org/officeDocument/2006/docPropsVTypes">2025-04-15T16:56:14Z</vt:lpwstr>
  </property>
  <property name="MSIP_Label_f1a6301f-2f2b-4a88-962b-d8e8d8e6eaec_Method" fmtid="{D5CDD505-2E9C-101B-9397-08002B2CF9AE}" pid="5">
    <vt:lpwstr xmlns:vt="http://schemas.openxmlformats.org/officeDocument/2006/docPropsVTypes">Standard</vt:lpwstr>
  </property>
  <property name="MSIP_Label_f1a6301f-2f2b-4a88-962b-d8e8d8e6eaec_Name" fmtid="{D5CDD505-2E9C-101B-9397-08002B2CF9AE}" pid="6">
    <vt:lpwstr xmlns:vt="http://schemas.openxmlformats.org/officeDocument/2006/docPropsVTypes">GENEL DAGITIM</vt:lpwstr>
  </property>
  <property name="MSIP_Label_f1a6301f-2f2b-4a88-962b-d8e8d8e6eaec_SiteId" fmtid="{D5CDD505-2E9C-101B-9397-08002B2CF9AE}" pid="7">
    <vt:lpwstr xmlns:vt="http://schemas.openxmlformats.org/officeDocument/2006/docPropsVTypes">f14fc7a5-32bd-46ae-983b-3701d5d415be</vt:lpwstr>
  </property>
  <property name="MSIP_Label_f1a6301f-2f2b-4a88-962b-d8e8d8e6eaec_ActionId" fmtid="{D5CDD505-2E9C-101B-9397-08002B2CF9AE}" pid="8">
    <vt:lpwstr xmlns:vt="http://schemas.openxmlformats.org/officeDocument/2006/docPropsVTypes">fb3d5e58-6674-4629-a949-a093e1100350</vt:lpwstr>
  </property>
  <property name="MSIP_Label_f1a6301f-2f2b-4a88-962b-d8e8d8e6eaec_ContentBits" fmtid="{D5CDD505-2E9C-101B-9397-08002B2CF9AE}" pid="9">
    <vt:lpwstr xmlns:vt="http://schemas.openxmlformats.org/officeDocument/2006/docPropsVTypes">0</vt:lpwstr>
  </property>
  <property name="MSIP_Label_f1a6301f-2f2b-4a88-962b-d8e8d8e6eaec_Tag" fmtid="{D5CDD505-2E9C-101B-9397-08002B2CF9AE}" pid="10">
    <vt:lpwstr xmlns:vt="http://schemas.openxmlformats.org/officeDocument/2006/docPropsVTypes">10, 3, 0, 1</vt:lpwstr>
  </property>
  <property name="MediaServiceImageTags" fmtid="{D5CDD505-2E9C-101B-9397-08002B2CF9AE}" pid="11">
    <vt:lpwstr xmlns:vt="http://schemas.openxmlformats.org/officeDocument/2006/docPropsVTypes"/>
  </property>
</Properties>
</file>